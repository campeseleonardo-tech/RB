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isciplines" sheetId="2" state="visible" r:id="rId4"/>
    <sheet name="Cities" sheetId="3" state="visible" r:id="rId5"/>
    <sheet name="SignalDefs" sheetId="4" state="visible" r:id="rId6"/>
    <sheet name="Signals" sheetId="5" state="visible" r:id="rId7"/>
    <sheet name="Events" sheetId="6" state="visible" r:id="rId8"/>
    <sheet name="RedBull" sheetId="7" state="visible" r:id="rId9"/>
    <sheet name="Ladder" sheetId="8" state="visible" r:id="rId10"/>
    <sheet name="Athletes" sheetId="9" state="visible" r:id="rId11"/>
    <sheet name="Keywords" sheetId="10" state="visible" r:id="rId12"/>
    <sheet name="Grid" sheetId="11" state="visible" r:id="rId13"/>
    <sheet name="Decisions" sheetId="12" state="visible" r:id="rId14"/>
  </sheets>
  <definedNames>
    <definedName function="false" hidden="true" localSheetId="8" name="_xlnm._FilterDatabase" vbProcedure="false">Athletes!$A$1:$J$2</definedName>
    <definedName function="false" hidden="true" localSheetId="2" name="_xlnm._FilterDatabase" vbProcedure="false">Cities!$A$1:$K$14</definedName>
    <definedName function="false" hidden="true" localSheetId="11" name="_xlnm._FilterDatabase" vbProcedure="false">Decisions!$A$1:$D$11</definedName>
    <definedName function="false" hidden="true" localSheetId="1" name="_xlnm._FilterDatabase" vbProcedure="false">Disciplines!$A$1:$H$26</definedName>
    <definedName function="false" hidden="true" localSheetId="5" name="_xlnm._FilterDatabase" vbProcedure="false">Events!$A$1:$M$2</definedName>
    <definedName function="false" hidden="true" localSheetId="9" name="_xlnm._FilterDatabase" vbProcedure="false">Keywords!$A$1:$J$21</definedName>
    <definedName function="false" hidden="true" localSheetId="7" name="_xlnm._FilterDatabase" vbProcedure="false">Ladder!$A$1:$G$2</definedName>
    <definedName function="false" hidden="true" localSheetId="6" name="_xlnm._FilterDatabase" vbProcedure="false">RedBull!$A$1:$L$48</definedName>
    <definedName function="false" hidden="true" localSheetId="3" name="_xlnm._FilterDatabase" vbProcedure="false">SignalDefs!$A$1:$F$10</definedName>
    <definedName function="false" hidden="true" localSheetId="4" name="_xlnm._FilterDatabase" vbProcedure="false">Signals!$A$1:$K$2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<sst xmlns="http://schemas.openxmlformats.org/spreadsheetml/2006/main" count="1123" uniqueCount="535">
  <si>
    <t xml:space="preserve">Atlante delle scene di movimento: foglio di raccolta v0</t>
  </si>
  <si>
    <t xml:space="preserve">A cosa serve</t>
  </si>
  <si>
    <t xml:space="preserve">Raccogliere, da fonti pubbliche, quanto è presente ogni disciplina in ogni città (community, scuole, spazi, eventi, competizioni, atleti, interesse online, scala di progressione) e confrontarlo con la presenza Red Bull. La presenza Red Bull è UN dato tra gli altri, non il centro.</t>
  </si>
  <si>
    <t xml:space="preserve">Come si usa</t>
  </si>
  <si>
    <t xml:space="preserve">1. Disciplines e Cities: elenchi di partenza, da confermare. Si possono aggiungere righe.</t>
  </si>
  <si>
    <t xml:space="preserve">2. Signals: una riga per ogni misura (città x disciplina x segnale). Si scrive SEMPRE il valore grezzo, l'unità, la fonte e la data; il punteggio 0-5 e la confidenza (H/M/L) servono per il confronto.</t>
  </si>
  <si>
    <t xml:space="preserve">3. Events, Athletes, Ladder, Keywords: tabelle di dettaglio. RedBull: inventario delle tappe Red Bull trovate.</t>
  </si>
  <si>
    <t xml:space="preserve">4. Grid si calcola da sola dalle altre schede (formule): non va modificata a mano.</t>
  </si>
  <si>
    <t xml:space="preserve">5. Decisions: registro delle scelte e delle domande aperte.</t>
  </si>
  <si>
    <t xml:space="preserve">Regole</t>
  </si>
  <si>
    <t xml:space="preserve">Solo fonti pubbliche. Nessun dato personale di privati: in Athletes solo professionisti o partecipanti a gare con risultati pubblicati, nessun contatto o profilo social.</t>
  </si>
  <si>
    <t xml:space="preserve">Ogni numero è una stima con un intervallo e una confidenza; un numero senza fonte non entra.</t>
  </si>
  <si>
    <t xml:space="preserve">Punteggi 0-5: 0 = nulla trovato, 1 = molto piccolo, 3 = nella media per quella fascia di città, 5 = eccezionale. Da calibrare dopo le prime 2 città.</t>
  </si>
  <si>
    <t xml:space="preserve">Stato dei dati</t>
  </si>
  <si>
    <t xml:space="preserve">Verificato: tappe Red Bull 2026 elencate in RedBull (da pagine ufficiali e da un articolo), l'evento Hooked in Events. Le città compaiono come sono scritte nella fonte; dove la città è dedotta dal luogo è segnato 'inferred'.</t>
  </si>
  <si>
    <t xml:space="preserve">Da confermare: terza disciplina (proposta: tricking), elenco delle città, città 'ancora' fuori Europa, fasce di dimensione (stime mie, popolazione da compilare con fonte).</t>
  </si>
  <si>
    <t xml:space="preserve">La riga con ID 'EXAMPLE' in Signals mostra solo il formato: va cancellata prima di usare la scheda.</t>
  </si>
  <si>
    <t xml:space="preserve">Colori: intestazioni blu scuro; celle azzurre = formule (non toccare); riga grigia = esempio.</t>
  </si>
  <si>
    <t xml:space="preserve">disc_id</t>
  </si>
  <si>
    <t xml:space="preserve">family (level 1)</t>
  </si>
  <si>
    <t xml:space="preserve">discipline (level 2)</t>
  </si>
  <si>
    <t xml:space="preserve">sub-style (level 3)</t>
  </si>
  <si>
    <t xml:space="preserve">pilot (Y/N/Proposed)</t>
  </si>
  <si>
    <t xml:space="preserve">adjacent (Y/N)</t>
  </si>
  <si>
    <t xml:space="preserve">red_bull_reference (Y/N/?)</t>
  </si>
  <si>
    <t xml:space="preserve">notes</t>
  </si>
  <si>
    <t xml:space="preserve">URB-BRK</t>
  </si>
  <si>
    <t xml:space="preserve">Urban / street</t>
  </si>
  <si>
    <t xml:space="preserve">Breaking</t>
  </si>
  <si>
    <t xml:space="preserve">Y</t>
  </si>
  <si>
    <t xml:space="preserve">N</t>
  </si>
  <si>
    <t xml:space="preserve">Reference: Red Bull BC One</t>
  </si>
  <si>
    <t xml:space="preserve">URB-HIP</t>
  </si>
  <si>
    <t xml:space="preserve">Hip hop</t>
  </si>
  <si>
    <t xml:space="preserve">Reference: Red Bull Dance Your Style (mixed street styles)</t>
  </si>
  <si>
    <t xml:space="preserve">URB-MIX</t>
  </si>
  <si>
    <t xml:space="preserve">Mixed-style street dance</t>
  </si>
  <si>
    <t xml:space="preserve">all-style</t>
  </si>
  <si>
    <t xml:space="preserve">Format label used by Dance Your Style; not a style of its own</t>
  </si>
  <si>
    <t xml:space="preserve">URB-HOU</t>
  </si>
  <si>
    <t xml:space="preserve">House</t>
  </si>
  <si>
    <t xml:space="preserve">?</t>
  </si>
  <si>
    <t xml:space="preserve">URB-POP</t>
  </si>
  <si>
    <t xml:space="preserve">Popping</t>
  </si>
  <si>
    <t xml:space="preserve">URB-LOC</t>
  </si>
  <si>
    <t xml:space="preserve">Locking</t>
  </si>
  <si>
    <t xml:space="preserve">URB-KRU</t>
  </si>
  <si>
    <t xml:space="preserve">Krump</t>
  </si>
  <si>
    <t xml:space="preserve">CAR-SAL</t>
  </si>
  <si>
    <t xml:space="preserve">Latin / Caribbean</t>
  </si>
  <si>
    <t xml:space="preserve">Salsa</t>
  </si>
  <si>
    <t xml:space="preserve">all sub-styles</t>
  </si>
  <si>
    <t xml:space="preserve">Pilot discipline; sub-styles below</t>
  </si>
  <si>
    <t xml:space="preserve">CAR-SAL-CUB</t>
  </si>
  <si>
    <t xml:space="preserve">Cuban (casino)</t>
  </si>
  <si>
    <t xml:space="preserve">Record only where the city scene differs</t>
  </si>
  <si>
    <t xml:space="preserve">CAR-SAL-LA</t>
  </si>
  <si>
    <t xml:space="preserve">LA style</t>
  </si>
  <si>
    <t xml:space="preserve">CAR-SAL-NY</t>
  </si>
  <si>
    <t xml:space="preserve">New York (on2)</t>
  </si>
  <si>
    <t xml:space="preserve">CAR-SAL-PR</t>
  </si>
  <si>
    <t xml:space="preserve">Puerto Rican</t>
  </si>
  <si>
    <t xml:space="preserve">CAR-BCH</t>
  </si>
  <si>
    <t xml:space="preserve">Bachata</t>
  </si>
  <si>
    <t xml:space="preserve">Pilot discipline</t>
  </si>
  <si>
    <t xml:space="preserve">CAR-BCH-DOM</t>
  </si>
  <si>
    <t xml:space="preserve">Dominican</t>
  </si>
  <si>
    <t xml:space="preserve">CAR-BCH-SEN</t>
  </si>
  <si>
    <t xml:space="preserve">Sensual / moderna</t>
  </si>
  <si>
    <t xml:space="preserve">CAR-MER</t>
  </si>
  <si>
    <t xml:space="preserve">Merengue</t>
  </si>
  <si>
    <t xml:space="preserve">CAR-DHL</t>
  </si>
  <si>
    <t xml:space="preserve">Dancehall</t>
  </si>
  <si>
    <t xml:space="preserve">Jamaican; family to be confirmed</t>
  </si>
  <si>
    <t xml:space="preserve">AFR-KIZ</t>
  </si>
  <si>
    <t xml:space="preserve">Afro-Latin</t>
  </si>
  <si>
    <t xml:space="preserve">Kizomba</t>
  </si>
  <si>
    <t xml:space="preserve">Family to be confirmed</t>
  </si>
  <si>
    <t xml:space="preserve">ACR-TRK</t>
  </si>
  <si>
    <t xml:space="preserve">Acrobatic / show-off</t>
  </si>
  <si>
    <t xml:space="preserve">Tricking</t>
  </si>
  <si>
    <t xml:space="preserve">Proposed</t>
  </si>
  <si>
    <t xml:space="preserve">Third pilot discipline proposed; example event: Hooked (Amsterdam)</t>
  </si>
  <si>
    <t xml:space="preserve">ACR-AER</t>
  </si>
  <si>
    <t xml:space="preserve">Aerial</t>
  </si>
  <si>
    <t xml:space="preserve">ACR-POL</t>
  </si>
  <si>
    <t xml:space="preserve">Pole</t>
  </si>
  <si>
    <t xml:space="preserve">BAL-STD</t>
  </si>
  <si>
    <t xml:space="preserve">Ballroom / dancesport</t>
  </si>
  <si>
    <t xml:space="preserve">Standard</t>
  </si>
  <si>
    <t xml:space="preserve">BAL-LAT</t>
  </si>
  <si>
    <t xml:space="preserve">Latin dancesport</t>
  </si>
  <si>
    <t xml:space="preserve">Competition format; different scene from social Latin</t>
  </si>
  <si>
    <t xml:space="preserve">CON-CON</t>
  </si>
  <si>
    <t xml:space="preserve">Contemporary / classical</t>
  </si>
  <si>
    <t xml:space="preserve">Contemporary</t>
  </si>
  <si>
    <t xml:space="preserve">CON-BAL</t>
  </si>
  <si>
    <t xml:space="preserve">Ballet</t>
  </si>
  <si>
    <t xml:space="preserve">city_id</t>
  </si>
  <si>
    <t xml:space="preserve">city</t>
  </si>
  <si>
    <t xml:space="preserve">country</t>
  </si>
  <si>
    <t xml:space="preserve">status (core/reserve/anchor)</t>
  </si>
  <si>
    <t xml:space="preserve">size_tier_estimate (S/M/L/XL)</t>
  </si>
  <si>
    <t xml:space="preserve">population (fill)</t>
  </si>
  <si>
    <t xml:space="preserve">population_source</t>
  </si>
  <si>
    <t xml:space="preserve">lat</t>
  </si>
  <si>
    <t xml:space="preserve">lon</t>
  </si>
  <si>
    <t xml:space="preserve">why_included</t>
  </si>
  <si>
    <t xml:space="preserve">SBG</t>
  </si>
  <si>
    <t xml:space="preserve">Salzburg</t>
  </si>
  <si>
    <t xml:space="preserve">Austria</t>
  </si>
  <si>
    <t xml:space="preserve">core</t>
  </si>
  <si>
    <t xml:space="preserve">S</t>
  </si>
  <si>
    <t xml:space="preserve">Home city, small; Dance Your Style qualifier 2026</t>
  </si>
  <si>
    <t xml:space="preserve">Ground truth: checkable on site</t>
  </si>
  <si>
    <t xml:space="preserve">INN</t>
  </si>
  <si>
    <t xml:space="preserve">Innsbruck</t>
  </si>
  <si>
    <t xml:space="preserve">Small; BC One cypher 2026</t>
  </si>
  <si>
    <t xml:space="preserve">VIE</t>
  </si>
  <si>
    <t xml:space="preserve">Vienna</t>
  </si>
  <si>
    <t xml:space="preserve">L</t>
  </si>
  <si>
    <t xml:space="preserve">Large; Dance Your Style national final 2026</t>
  </si>
  <si>
    <t xml:space="preserve">MUC</t>
  </si>
  <si>
    <t xml:space="preserve">Munich</t>
  </si>
  <si>
    <t xml:space="preserve">Germany</t>
  </si>
  <si>
    <t xml:space="preserve">Large, German-speaking; Red Bull footprint to check</t>
  </si>
  <si>
    <t xml:space="preserve">MIL</t>
  </si>
  <si>
    <t xml:space="preserve">Milan</t>
  </si>
  <si>
    <t xml:space="preserve">Italy</t>
  </si>
  <si>
    <t xml:space="preserve">Large, Italian scene; Red Bull footprint to check</t>
  </si>
  <si>
    <t xml:space="preserve">BCN</t>
  </si>
  <si>
    <t xml:space="preserve">Barcelona</t>
  </si>
  <si>
    <t xml:space="preserve">Spain</t>
  </si>
  <si>
    <t xml:space="preserve">Large; strong Latin scene expected (to verify); Red Bull footprint to check</t>
  </si>
  <si>
    <t xml:space="preserve">AMS</t>
  </si>
  <si>
    <t xml:space="preserve">Amsterdam</t>
  </si>
  <si>
    <t xml:space="preserve">Netherlands</t>
  </si>
  <si>
    <t xml:space="preserve">M</t>
  </si>
  <si>
    <t xml:space="preserve">Medium; Hooked tricking tournament</t>
  </si>
  <si>
    <t xml:space="preserve">Rotterdam (BC One cypher 2026) is nearby</t>
  </si>
  <si>
    <t xml:space="preserve">BER</t>
  </si>
  <si>
    <t xml:space="preserve">Berlin</t>
  </si>
  <si>
    <t xml:space="preserve">XL</t>
  </si>
  <si>
    <t xml:space="preserve">Very large; BC One cypher 2026</t>
  </si>
  <si>
    <t xml:space="preserve">GRZ</t>
  </si>
  <si>
    <t xml:space="preserve">Graz</t>
  </si>
  <si>
    <t xml:space="preserve">reserve</t>
  </si>
  <si>
    <t xml:space="preserve">Medium Austrian city</t>
  </si>
  <si>
    <t xml:space="preserve">MAD</t>
  </si>
  <si>
    <t xml:space="preserve">Madrid</t>
  </si>
  <si>
    <t xml:space="preserve">PAR</t>
  </si>
  <si>
    <t xml:space="preserve">Paris</t>
  </si>
  <si>
    <t xml:space="preserve">France</t>
  </si>
  <si>
    <t xml:space="preserve">Very large; BC One cypher 2026 in Aubervilliers (Paris area)</t>
  </si>
  <si>
    <t xml:space="preserve">Metro-area handling to decide</t>
  </si>
  <si>
    <t xml:space="preserve">NYC</t>
  </si>
  <si>
    <t xml:space="preserve">New York</t>
  </si>
  <si>
    <t xml:space="preserve">USA</t>
  </si>
  <si>
    <t xml:space="preserve">anchor</t>
  </si>
  <si>
    <t xml:space="preserve">Benchmark for hip hop and New York style salsa; not comparable with Europe</t>
  </si>
  <si>
    <t xml:space="preserve">Anchor: proposal</t>
  </si>
  <si>
    <t xml:space="preserve">CLO</t>
  </si>
  <si>
    <t xml:space="preserve">Cali</t>
  </si>
  <si>
    <t xml:space="preserve">Colombia</t>
  </si>
  <si>
    <t xml:space="preserve">Benchmark for salsa; not comparable with Europe</t>
  </si>
  <si>
    <t xml:space="preserve">signal_id</t>
  </si>
  <si>
    <t xml:space="preserve">signal</t>
  </si>
  <si>
    <t xml:space="preserve">definition</t>
  </si>
  <si>
    <t xml:space="preserve">unit</t>
  </si>
  <si>
    <t xml:space="preserve">score guide</t>
  </si>
  <si>
    <t xml:space="preserve">typical public sources</t>
  </si>
  <si>
    <t xml:space="preserve">COM</t>
  </si>
  <si>
    <t xml:space="preserve">Community</t>
  </si>
  <si>
    <t xml:space="preserve">How large and active the practising community is (groups, crews, clubs, online communities)</t>
  </si>
  <si>
    <t xml:space="preserve">count + estimated size range</t>
  </si>
  <si>
    <t xml:space="preserve">0-5 relative to city size tier</t>
  </si>
  <si>
    <t xml:space="preserve">Meetup, public group pages, club registries, local associations</t>
  </si>
  <si>
    <t xml:space="preserve">SCH</t>
  </si>
  <si>
    <t xml:space="preserve">Schools and classes</t>
  </si>
  <si>
    <t xml:space="preserve">Number of schools/teachers and weekly class slots</t>
  </si>
  <si>
    <t xml:space="preserve">schools; classes per week</t>
  </si>
  <si>
    <t xml:space="preserve">School websites and timetables, Google Maps listings</t>
  </si>
  <si>
    <t xml:space="preserve">SPA</t>
  </si>
  <si>
    <t xml:space="preserve">Spaces and venues</t>
  </si>
  <si>
    <t xml:space="preserve">Availability of rehearsal/teaching space and clubs hosting socials</t>
  </si>
  <si>
    <t xml:space="preserve">venues; rental price per hour (EUR)</t>
  </si>
  <si>
    <t xml:space="preserve">0-5; record prices in notes</t>
  </si>
  <si>
    <t xml:space="preserve">Studio rental pages, venue sites</t>
  </si>
  <si>
    <t xml:space="preserve">EVT</t>
  </si>
  <si>
    <t xml:space="preserve">Events</t>
  </si>
  <si>
    <t xml:space="preserve">Regular socials, jams, festivals, shows per year</t>
  </si>
  <si>
    <t xml:space="preserve">events per year</t>
  </si>
  <si>
    <t xml:space="preserve">Event calendars, ticket platforms, organiser pages</t>
  </si>
  <si>
    <t xml:space="preserve">CMP</t>
  </si>
  <si>
    <t xml:space="preserve">Competitions</t>
  </si>
  <si>
    <t xml:space="preserve">Battles/contests per year and their level</t>
  </si>
  <si>
    <t xml:space="preserve">competitions per year; highest level</t>
  </si>
  <si>
    <t xml:space="preserve">0-5</t>
  </si>
  <si>
    <t xml:space="preserve">Federation and organiser calendars, published results</t>
  </si>
  <si>
    <t xml:space="preserve">ATH</t>
  </si>
  <si>
    <t xml:space="preserve">Athletes</t>
  </si>
  <si>
    <t xml:space="preserve">Publicly listed competitors and professionals from the city</t>
  </si>
  <si>
    <t xml:space="preserve">count from public results</t>
  </si>
  <si>
    <t xml:space="preserve">Published results, federation rankings (aggregate counts only)</t>
  </si>
  <si>
    <t xml:space="preserve">ONL</t>
  </si>
  <si>
    <t xml:space="preserve">Online interest</t>
  </si>
  <si>
    <t xml:space="preserve">Search and social interest in the discipline for this geography</t>
  </si>
  <si>
    <t xml:space="preserve">relative index 0-100</t>
  </si>
  <si>
    <t xml:space="preserve">Google Trends, public video and hashtag counts</t>
  </si>
  <si>
    <t xml:space="preserve">LAD</t>
  </si>
  <si>
    <t xml:space="preserve">Ladder completeness</t>
  </si>
  <si>
    <t xml:space="preserve">Rungs present: class, social/jam, local battle, national comp, international comp</t>
  </si>
  <si>
    <t xml:space="preserve">rungs present (0-5)</t>
  </si>
  <si>
    <t xml:space="preserve">score equals rungs present</t>
  </si>
  <si>
    <t xml:space="preserve">Ladder sheet</t>
  </si>
  <si>
    <t xml:space="preserve">PRC</t>
  </si>
  <si>
    <t xml:space="preserve">Prices</t>
  </si>
  <si>
    <t xml:space="preserve">Typical drop-in class price and studio rental price</t>
  </si>
  <si>
    <t xml:space="preserve">EUR</t>
  </si>
  <si>
    <t xml:space="preserve">no score (context only)</t>
  </si>
  <si>
    <t xml:space="preserve">School websites, studio rental pages</t>
  </si>
  <si>
    <t xml:space="preserve">row_id</t>
  </si>
  <si>
    <t xml:space="preserve">raw_value</t>
  </si>
  <si>
    <t xml:space="preserve">score_0_5</t>
  </si>
  <si>
    <t xml:space="preserve">confidence (H/M/L)</t>
  </si>
  <si>
    <t xml:space="preserve">source_url</t>
  </si>
  <si>
    <t xml:space="preserve">date_accessed</t>
  </si>
  <si>
    <t xml:space="preserve">EXAMPLE</t>
  </si>
  <si>
    <t xml:space="preserve">format only: e.g. 5</t>
  </si>
  <si>
    <t xml:space="preserve">schools</t>
  </si>
  <si>
    <t xml:space="preserve">https://example.org (replace)</t>
  </si>
  <si>
    <t xml:space="preserve">2026-10-19</t>
  </si>
  <si>
    <t xml:space="preserve">Delete this row before use</t>
  </si>
  <si>
    <t xml:space="preserve">event_id</t>
  </si>
  <si>
    <t xml:space="preserve">name</t>
  </si>
  <si>
    <t xml:space="preserve">type</t>
  </si>
  <si>
    <t xml:space="preserve">edition / year</t>
  </si>
  <si>
    <t xml:space="preserve">frequency</t>
  </si>
  <si>
    <t xml:space="preserve">scale (public figure)</t>
  </si>
  <si>
    <t xml:space="preserve">red_bull_involved</t>
  </si>
  <si>
    <t xml:space="preserve">EV-001</t>
  </si>
  <si>
    <t xml:space="preserve">Hooked Tournament</t>
  </si>
  <si>
    <t xml:space="preserve">battle + workshops</t>
  </si>
  <si>
    <t xml:space="preserve">2025 (10th edition, 19-21 Dec)</t>
  </si>
  <si>
    <t xml:space="preserve">annual</t>
  </si>
  <si>
    <t xml:space="preserve">visitors from 50+ countries (no headcount given)</t>
  </si>
  <si>
    <t xml:space="preserve">not stated on the page</t>
  </si>
  <si>
    <t xml:space="preserve">https://hookedtournament.com/</t>
  </si>
  <si>
    <t xml:space="preserve">Site does not mention Red Bull. Organiser not named on the page. Sponsors listed: City of Amsterdam, Bergtoys, Airtrack Sale, The Inhumans Agency</t>
  </si>
  <si>
    <t xml:space="preserve">rb_id</t>
  </si>
  <si>
    <t xml:space="preserve">series</t>
  </si>
  <si>
    <t xml:space="preserve">level</t>
  </si>
  <si>
    <t xml:space="preserve">date_2026</t>
  </si>
  <si>
    <t xml:space="preserve">venue</t>
  </si>
  <si>
    <t xml:space="preserve">city_certainty</t>
  </si>
  <si>
    <t xml:space="preserve">RB-001</t>
  </si>
  <si>
    <t xml:space="preserve">BC One</t>
  </si>
  <si>
    <t xml:space="preserve">cypher</t>
  </si>
  <si>
    <t xml:space="preserve">2026-03-15</t>
  </si>
  <si>
    <t xml:space="preserve">stated</t>
  </si>
  <si>
    <t xml:space="preserve">https://www.redbull.com/int-en/event-series/red-bull-bc-one</t>
  </si>
  <si>
    <t xml:space="preserve">RB-002</t>
  </si>
  <si>
    <t xml:space="preserve">2026-03-28</t>
  </si>
  <si>
    <t xml:space="preserve">RB-003</t>
  </si>
  <si>
    <t xml:space="preserve">Rotterdam</t>
  </si>
  <si>
    <t xml:space="preserve">2026-03-29</t>
  </si>
  <si>
    <t xml:space="preserve">RB-004</t>
  </si>
  <si>
    <t xml:space="preserve">London</t>
  </si>
  <si>
    <t xml:space="preserve">UK</t>
  </si>
  <si>
    <t xml:space="preserve">2026-04-11</t>
  </si>
  <si>
    <t xml:space="preserve">RB-005</t>
  </si>
  <si>
    <t xml:space="preserve">Lausanne</t>
  </si>
  <si>
    <t xml:space="preserve">Switzerland</t>
  </si>
  <si>
    <t xml:space="preserve">2026-04-18</t>
  </si>
  <si>
    <t xml:space="preserve">Palais de Beaulieu</t>
  </si>
  <si>
    <t xml:space="preserve">RB-006</t>
  </si>
  <si>
    <t xml:space="preserve">2026-04-19</t>
  </si>
  <si>
    <t xml:space="preserve">Villa Blanka</t>
  </si>
  <si>
    <t xml:space="preserve">RB-007</t>
  </si>
  <si>
    <t xml:space="preserve">Ghent</t>
  </si>
  <si>
    <t xml:space="preserve">Belgium</t>
  </si>
  <si>
    <t xml:space="preserve">2026-04-26</t>
  </si>
  <si>
    <t xml:space="preserve">Wintercircus</t>
  </si>
  <si>
    <t xml:space="preserve">inferred from venue</t>
  </si>
  <si>
    <t xml:space="preserve">Page names only Belgium; verify city</t>
  </si>
  <si>
    <t xml:space="preserve">RB-008</t>
  </si>
  <si>
    <t xml:space="preserve">Kyiv</t>
  </si>
  <si>
    <t xml:space="preserve">Ukraine</t>
  </si>
  <si>
    <t xml:space="preserve">2026-05-09</t>
  </si>
  <si>
    <t xml:space="preserve">VDNH</t>
  </si>
  <si>
    <t xml:space="preserve">Page names only Ukraine; verify city</t>
  </si>
  <si>
    <t xml:space="preserve">RB-009</t>
  </si>
  <si>
    <t xml:space="preserve">Bucharest</t>
  </si>
  <si>
    <t xml:space="preserve">Romania</t>
  </si>
  <si>
    <t xml:space="preserve">2026-05-22</t>
  </si>
  <si>
    <t xml:space="preserve">ParkLake Mall</t>
  </si>
  <si>
    <t xml:space="preserve">Page names only Romania; verify city</t>
  </si>
  <si>
    <t xml:space="preserve">RB-010</t>
  </si>
  <si>
    <t xml:space="preserve">L'Aquila</t>
  </si>
  <si>
    <t xml:space="preserve">RB-011</t>
  </si>
  <si>
    <t xml:space="preserve">Aubervilliers</t>
  </si>
  <si>
    <t xml:space="preserve">2026-09-12</t>
  </si>
  <si>
    <t xml:space="preserve">Le Point Fort</t>
  </si>
  <si>
    <t xml:space="preserve">Paris metro area</t>
  </si>
  <si>
    <t xml:space="preserve">RB-012</t>
  </si>
  <si>
    <t xml:space="preserve">world final</t>
  </si>
  <si>
    <t xml:space="preserve">Toronto</t>
  </si>
  <si>
    <t xml:space="preserve">Canada</t>
  </si>
  <si>
    <t xml:space="preserve">2026-11-29</t>
  </si>
  <si>
    <t xml:space="preserve">Upcoming</t>
  </si>
  <si>
    <t xml:space="preserve">RB-013</t>
  </si>
  <si>
    <t xml:space="preserve">cypher / national</t>
  </si>
  <si>
    <t xml:space="preserve">Almaty</t>
  </si>
  <si>
    <t xml:space="preserve">Kazakhstan</t>
  </si>
  <si>
    <t xml:space="preserve">2026-02-28</t>
  </si>
  <si>
    <t xml:space="preserve">RB-014</t>
  </si>
  <si>
    <t xml:space="preserve">Denver</t>
  </si>
  <si>
    <t xml:space="preserve">2026-04-03</t>
  </si>
  <si>
    <t xml:space="preserve">Boettcher Concert Hall</t>
  </si>
  <si>
    <t xml:space="preserve">RB-015</t>
  </si>
  <si>
    <t xml:space="preserve">Seattle</t>
  </si>
  <si>
    <t xml:space="preserve">2026-05-31</t>
  </si>
  <si>
    <t xml:space="preserve">Showbox SoDo</t>
  </si>
  <si>
    <t xml:space="preserve">RB-016</t>
  </si>
  <si>
    <t xml:space="preserve">Detroit</t>
  </si>
  <si>
    <t xml:space="preserve">2026-06-05</t>
  </si>
  <si>
    <t xml:space="preserve">MCSDA</t>
  </si>
  <si>
    <t xml:space="preserve">RB-017</t>
  </si>
  <si>
    <t xml:space="preserve">2026-08-22</t>
  </si>
  <si>
    <t xml:space="preserve">Port Pavilion, Broadway Pier</t>
  </si>
  <si>
    <t xml:space="preserve">country only</t>
  </si>
  <si>
    <t xml:space="preserve">RB-018</t>
  </si>
  <si>
    <t xml:space="preserve">India</t>
  </si>
  <si>
    <t xml:space="preserve">Pinhole Studio</t>
  </si>
  <si>
    <t xml:space="preserve">RB-019</t>
  </si>
  <si>
    <t xml:space="preserve">Taipei</t>
  </si>
  <si>
    <t xml:space="preserve">Taiwan</t>
  </si>
  <si>
    <t xml:space="preserve">2026-06-06</t>
  </si>
  <si>
    <t xml:space="preserve">RB-020</t>
  </si>
  <si>
    <t xml:space="preserve">Medellin</t>
  </si>
  <si>
    <t xml:space="preserve">2026-07-12</t>
  </si>
  <si>
    <t xml:space="preserve">RB-021</t>
  </si>
  <si>
    <t xml:space="preserve">Thailand</t>
  </si>
  <si>
    <t xml:space="preserve">2026-07-18</t>
  </si>
  <si>
    <t xml:space="preserve">HOSTBKK Arts Center</t>
  </si>
  <si>
    <t xml:space="preserve">RB-022</t>
  </si>
  <si>
    <t xml:space="preserve">Japan</t>
  </si>
  <si>
    <t xml:space="preserve">2026-08-23</t>
  </si>
  <si>
    <t xml:space="preserve">Meijo University campus, Nagoya area</t>
  </si>
  <si>
    <t xml:space="preserve">RB-023</t>
  </si>
  <si>
    <t xml:space="preserve">2026-08-29</t>
  </si>
  <si>
    <t xml:space="preserve">RB-024</t>
  </si>
  <si>
    <t xml:space="preserve">South Africa</t>
  </si>
  <si>
    <t xml:space="preserve">2026-09-05</t>
  </si>
  <si>
    <t xml:space="preserve">Thibault Square Plaza</t>
  </si>
  <si>
    <t xml:space="preserve">RB-025</t>
  </si>
  <si>
    <t xml:space="preserve">Australia</t>
  </si>
  <si>
    <t xml:space="preserve">2026-09-26</t>
  </si>
  <si>
    <t xml:space="preserve">Street University</t>
  </si>
  <si>
    <t xml:space="preserve">RB-026</t>
  </si>
  <si>
    <t xml:space="preserve">Morocco</t>
  </si>
  <si>
    <t xml:space="preserve">RB-027</t>
  </si>
  <si>
    <t xml:space="preserve">Dance Your Style</t>
  </si>
  <si>
    <t xml:space="preserve">Zurich</t>
  </si>
  <si>
    <t xml:space="preserve">2026-10-24</t>
  </si>
  <si>
    <t xml:space="preserve">Hallenstadion</t>
  </si>
  <si>
    <t xml:space="preserve">https://www.redbull.com/int-en/event-series/red-bull-dance-your-style</t>
  </si>
  <si>
    <t xml:space="preserve">Upcoming; date from series page</t>
  </si>
  <si>
    <t xml:space="preserve">RB-028</t>
  </si>
  <si>
    <t xml:space="preserve">national final</t>
  </si>
  <si>
    <t xml:space="preserve">2026-05-30</t>
  </si>
  <si>
    <t xml:space="preserve">Qualifiers across the UK</t>
  </si>
  <si>
    <t xml:space="preserve">RB-029</t>
  </si>
  <si>
    <t xml:space="preserve">Basel</t>
  </si>
  <si>
    <t xml:space="preserve">unclear (page shows 16 May - 4 Jul)</t>
  </si>
  <si>
    <t xml:space="preserve">First-time Weekender on 4 Jul; dates ambiguous</t>
  </si>
  <si>
    <t xml:space="preserve">RB-030</t>
  </si>
  <si>
    <t xml:space="preserve">Hamburg</t>
  </si>
  <si>
    <t xml:space="preserve">2026-08-02</t>
  </si>
  <si>
    <t xml:space="preserve">Inselpark Arena</t>
  </si>
  <si>
    <t xml:space="preserve">RB-031</t>
  </si>
  <si>
    <t xml:space="preserve">2026-08-28</t>
  </si>
  <si>
    <t xml:space="preserve">Gloriette, Schoenbrunn</t>
  </si>
  <si>
    <t xml:space="preserve">https://www.redbull.com/int-en/event-series/red-bull-dance-your-style ; https://www.vienna.at/red-bull-dance-your-style-2026-national-final-for-the-first-time-at-the-gloriette-in-vienna/10240406</t>
  </si>
  <si>
    <t xml:space="preserve">16 dancers; first time at this venue</t>
  </si>
  <si>
    <t xml:space="preserve">RB-032</t>
  </si>
  <si>
    <t xml:space="preserve">qualifier</t>
  </si>
  <si>
    <t xml:space="preserve">2026-07-04</t>
  </si>
  <si>
    <t xml:space="preserve">Domquartier</t>
  </si>
  <si>
    <t xml:space="preserve">https://www.vienna.at/red-bull-dance-your-style-2026-national-final-for-the-first-time-at-the-gloriette-in-vienna/10240406</t>
  </si>
  <si>
    <t xml:space="preserve">Last 4 of 16 places awarded here</t>
  </si>
  <si>
    <t xml:space="preserve">RB-033</t>
  </si>
  <si>
    <t xml:space="preserve">tour stop</t>
  </si>
  <si>
    <t xml:space="preserve">2026-06-28 to 2026-07-04 (range)</t>
  </si>
  <si>
    <t xml:space="preserve">Article says tour stops 'including' Salzburg, Vienna, Red Bull Ring; other stops may exist</t>
  </si>
  <si>
    <t xml:space="preserve">RB-034</t>
  </si>
  <si>
    <t xml:space="preserve">Spielberg (Red Bull Ring)</t>
  </si>
  <si>
    <t xml:space="preserve">Red Bull Ring</t>
  </si>
  <si>
    <t xml:space="preserve">Same range as above; exact date not stated</t>
  </si>
  <si>
    <t xml:space="preserve">RB-035</t>
  </si>
  <si>
    <t xml:space="preserve">final</t>
  </si>
  <si>
    <t xml:space="preserve">Helsinki</t>
  </si>
  <si>
    <t xml:space="preserve">Finland</t>
  </si>
  <si>
    <t xml:space="preserve">Senaatintori</t>
  </si>
  <si>
    <t xml:space="preserve">Finnish final also lists Oulu</t>
  </si>
  <si>
    <t xml:space="preserve">RB-036</t>
  </si>
  <si>
    <t xml:space="preserve">Oulu</t>
  </si>
  <si>
    <t xml:space="preserve">Listed together with Helsinki</t>
  </si>
  <si>
    <t xml:space="preserve">RB-037</t>
  </si>
  <si>
    <t xml:space="preserve">Montpellier</t>
  </si>
  <si>
    <t xml:space="preserve">2026-09-23 to 2026-09-26</t>
  </si>
  <si>
    <t xml:space="preserve">Free qualifier tickets and pre-selection mentioned</t>
  </si>
  <si>
    <t xml:space="preserve">RB-038</t>
  </si>
  <si>
    <t xml:space="preserve">Lisbon</t>
  </si>
  <si>
    <t xml:space="preserve">Portugal</t>
  </si>
  <si>
    <t xml:space="preserve">MAAT Central</t>
  </si>
  <si>
    <t xml:space="preserve">Page describes this as a past edition; year to verify</t>
  </si>
  <si>
    <t xml:space="preserve">RB-039</t>
  </si>
  <si>
    <t xml:space="preserve">Philippines</t>
  </si>
  <si>
    <t xml:space="preserve">2026-01-16 to 2026-04-11</t>
  </si>
  <si>
    <t xml:space="preserve">Bridgetowne Concert Grounds</t>
  </si>
  <si>
    <t xml:space="preserve">RB-040</t>
  </si>
  <si>
    <t xml:space="preserve">Brazil</t>
  </si>
  <si>
    <t xml:space="preserve">2026-03-28 to 2026-05-02</t>
  </si>
  <si>
    <t xml:space="preserve">TBA</t>
  </si>
  <si>
    <t xml:space="preserve">RB-041</t>
  </si>
  <si>
    <t xml:space="preserve">Kenya</t>
  </si>
  <si>
    <t xml:space="preserve">2026-03-31 to 2026-05-24</t>
  </si>
  <si>
    <t xml:space="preserve">RB-042</t>
  </si>
  <si>
    <t xml:space="preserve">New Zealand</t>
  </si>
  <si>
    <t xml:space="preserve">Queens Wharf</t>
  </si>
  <si>
    <t xml:space="preserve">RB-043</t>
  </si>
  <si>
    <t xml:space="preserve">Nigeria</t>
  </si>
  <si>
    <t xml:space="preserve">2026-06-28</t>
  </si>
  <si>
    <t xml:space="preserve">RB-044</t>
  </si>
  <si>
    <t xml:space="preserve">Georgia</t>
  </si>
  <si>
    <t xml:space="preserve">RB-045</t>
  </si>
  <si>
    <t xml:space="preserve">2026-07-25</t>
  </si>
  <si>
    <t xml:space="preserve">The Hordern Pavilion</t>
  </si>
  <si>
    <t xml:space="preserve">RB-046</t>
  </si>
  <si>
    <t xml:space="preserve">2026-08-30</t>
  </si>
  <si>
    <t xml:space="preserve">RB-047</t>
  </si>
  <si>
    <t xml:space="preserve">Mauritius</t>
  </si>
  <si>
    <t xml:space="preserve">rung</t>
  </si>
  <si>
    <t xml:space="preserve">present (Y/N/?)</t>
  </si>
  <si>
    <t xml:space="preserve">example</t>
  </si>
  <si>
    <t xml:space="preserve">1 class</t>
  </si>
  <si>
    <t xml:space="preserve">format only</t>
  </si>
  <si>
    <t xml:space="preserve">Delete before use; rungs: 1 class, 2 social/jam, 3 local battle or show, 4 national competition, 5 international competition</t>
  </si>
  <si>
    <t xml:space="preserve">ath_id</t>
  </si>
  <si>
    <t xml:space="preserve">public_name</t>
  </si>
  <si>
    <t xml:space="preserve">base_city_id</t>
  </si>
  <si>
    <t xml:space="preserve">red_bull_athlete (Y/N/?)</t>
  </si>
  <si>
    <t xml:space="preserve">national</t>
  </si>
  <si>
    <t xml:space="preserve">https://example.org</t>
  </si>
  <si>
    <t xml:space="preserve">Delete before use. Only publicly listed competitors and professionals; no private individuals, no contacts, no social profiles</t>
  </si>
  <si>
    <t xml:space="preserve">kw_id</t>
  </si>
  <si>
    <t xml:space="preserve">language</t>
  </si>
  <si>
    <t xml:space="preserve">keyword</t>
  </si>
  <si>
    <t xml:space="preserve">ambiguity_note</t>
  </si>
  <si>
    <t xml:space="preserve">source_tool</t>
  </si>
  <si>
    <t xml:space="preserve">geo</t>
  </si>
  <si>
    <t xml:space="preserve">period</t>
  </si>
  <si>
    <t xml:space="preserve">relative_index (fill)</t>
  </si>
  <si>
    <t xml:space="preserve">KW-001</t>
  </si>
  <si>
    <t xml:space="preserve">EN</t>
  </si>
  <si>
    <t xml:space="preserve">breakdance</t>
  </si>
  <si>
    <t xml:space="preserve">Google Trends</t>
  </si>
  <si>
    <t xml:space="preserve">KW-002</t>
  </si>
  <si>
    <t xml:space="preserve">DE</t>
  </si>
  <si>
    <t xml:space="preserve">KW-003</t>
  </si>
  <si>
    <t xml:space="preserve">IT</t>
  </si>
  <si>
    <t xml:space="preserve">KW-004</t>
  </si>
  <si>
    <t xml:space="preserve">ES</t>
  </si>
  <si>
    <t xml:space="preserve">KW-005</t>
  </si>
  <si>
    <t xml:space="preserve">bboy</t>
  </si>
  <si>
    <t xml:space="preserve">KW-006</t>
  </si>
  <si>
    <t xml:space="preserve">red bull bc one</t>
  </si>
  <si>
    <t xml:space="preserve">KW-007</t>
  </si>
  <si>
    <t xml:space="preserve">hip hop dance</t>
  </si>
  <si>
    <t xml:space="preserve">May mix music and dance interest; compare with the dance-specific term</t>
  </si>
  <si>
    <t xml:space="preserve">KW-008</t>
  </si>
  <si>
    <t xml:space="preserve">hip hop tanzen</t>
  </si>
  <si>
    <t xml:space="preserve">KW-009</t>
  </si>
  <si>
    <t xml:space="preserve">corso hip hop</t>
  </si>
  <si>
    <t xml:space="preserve">KW-010</t>
  </si>
  <si>
    <t xml:space="preserve">clases de hip hop</t>
  </si>
  <si>
    <t xml:space="preserve">KW-011</t>
  </si>
  <si>
    <t xml:space="preserve">salsa dancing</t>
  </si>
  <si>
    <t xml:space="preserve">'salsa' alone also means the sauce; always pair with a dance/class word</t>
  </si>
  <si>
    <t xml:space="preserve">KW-012</t>
  </si>
  <si>
    <t xml:space="preserve">salsa tanzen</t>
  </si>
  <si>
    <t xml:space="preserve">KW-013</t>
  </si>
  <si>
    <t xml:space="preserve">corso di salsa</t>
  </si>
  <si>
    <t xml:space="preserve">KW-014</t>
  </si>
  <si>
    <t xml:space="preserve">clases de salsa</t>
  </si>
  <si>
    <t xml:space="preserve">KW-015</t>
  </si>
  <si>
    <t xml:space="preserve">bachata class</t>
  </si>
  <si>
    <t xml:space="preserve">KW-016</t>
  </si>
  <si>
    <t xml:space="preserve">bachata tanzen</t>
  </si>
  <si>
    <t xml:space="preserve">KW-017</t>
  </si>
  <si>
    <t xml:space="preserve">corso di bachata</t>
  </si>
  <si>
    <t xml:space="preserve">KW-018</t>
  </si>
  <si>
    <t xml:space="preserve">clases de bachata</t>
  </si>
  <si>
    <t xml:space="preserve">KW-019</t>
  </si>
  <si>
    <t xml:space="preserve">tricking</t>
  </si>
  <si>
    <t xml:space="preserve">Check for other meanings of the word</t>
  </si>
  <si>
    <t xml:space="preserve">KW-020</t>
  </si>
  <si>
    <t xml:space="preserve">tricking battle</t>
  </si>
  <si>
    <t xml:space="preserve">Grid: formulas from Signals and RedBull. Do not edit.</t>
  </si>
  <si>
    <t xml:space="preserve">Block 1: average score (0-5) per city and discipline. Block 2: number of signal rows filled. Block 3: Red Bull events listed for the city name (exact match).</t>
  </si>
  <si>
    <t xml:space="preserve">Block 1: average score</t>
  </si>
  <si>
    <t xml:space="preserve">Block 2: signal rows filled</t>
  </si>
  <si>
    <t xml:space="preserve">Block 3: Red Bull events listed (2026, exact city name)</t>
  </si>
  <si>
    <t xml:space="preserve">Red Bull events listed</t>
  </si>
  <si>
    <t xml:space="preserve">date</t>
  </si>
  <si>
    <t xml:space="preserve">decision / question</t>
  </si>
  <si>
    <t xml:space="preserve">status</t>
  </si>
  <si>
    <t xml:space="preserve">Scope: dance, with show-off/acrobatic disciplines as 'adjacent'. The data model does not depend on dance, so other sports can be added later</t>
  </si>
  <si>
    <t xml:space="preserve">decided</t>
  </si>
  <si>
    <t xml:space="preserve">Core question: where are the scenes, how strong are they, and what potential exists where Red Bull is absent or partial. Red Bull presence is one input, not the centre</t>
  </si>
  <si>
    <t xml:space="preserve">Sources: public only. A Red Bull contact validates and completes after enough data is collected</t>
  </si>
  <si>
    <t xml:space="preserve">Pilot disciplines: hip hop family (Red Bull reference), Caribbean/Latin dance, plus one more</t>
  </si>
  <si>
    <t xml:space="preserve">Third discipline: tricking proposed, to confirm</t>
  </si>
  <si>
    <t xml:space="preserve">Cities: Europe as the comparable core; at most 2-3 anchor cities outside Europe as benchmarks only</t>
  </si>
  <si>
    <t xml:space="preserve">proposed</t>
  </si>
  <si>
    <t xml:space="preserve">Confirm list in Cities</t>
  </si>
  <si>
    <t xml:space="preserve">Ladder of progression (class, social, local battle, national, international) is tested inside this workbook, not as a separate tool; keep it only if data is easy to get</t>
  </si>
  <si>
    <t xml:space="preserve">Under/over-served is a secondary reading computed from the same data</t>
  </si>
  <si>
    <t xml:space="preserve">Interactive map that can be shared: decide the tool after the first dataset exists</t>
  </si>
  <si>
    <t xml:space="preserve">open</t>
  </si>
  <si>
    <t xml:space="preserve">Options: free map tools or a published page</t>
  </si>
  <si>
    <t xml:space="preserve">Column headers are in English so the file can be shared with Red Bull contacts</t>
  </si>
  <si>
    <t xml:space="preserve">Easy to change</t>
  </si>
  <si>
    <t xml:space="preserve">Open: Dance Your Style World Final is on 2026-10-24 in Zurich (per Red Bull series page): worth attending to observe a major event?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</si>
</sst>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F2F2F2"/>
        <bgColor rgb="FFE8F1F5"/>
      </patternFill>
    </fill>
    <fill>
      <patternFill patternType="solid">
        <fgColor rgb="FFE8F1F5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7F7F7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E8F1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23.8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23.8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23.85" hidden="false" customHeight="false" outlineLevel="0" collapsed="false">
      <c r="A19" s="2" t="s">
        <v>14</v>
      </c>
    </row>
    <row r="20" customFormat="false" ht="23.8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4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60"/>
  </cols>
  <sheetData>
    <row r="1" customFormat="false" ht="30" hidden="false" customHeight="true" outlineLevel="0" collapsed="false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</row>
    <row r="2" customFormat="false" ht="15" hidden="false" customHeight="false" outlineLevel="0" collapsed="false">
      <c r="A2" s="2" t="s">
        <v>26</v>
      </c>
      <c r="B2" s="2" t="s">
        <v>27</v>
      </c>
      <c r="C2" s="2" t="s">
        <v>28</v>
      </c>
      <c r="D2" s="2"/>
      <c r="E2" s="2" t="s">
        <v>29</v>
      </c>
      <c r="F2" s="2" t="s">
        <v>30</v>
      </c>
      <c r="G2" s="2" t="s">
        <v>29</v>
      </c>
      <c r="H2" s="2" t="s">
        <v>31</v>
      </c>
    </row>
    <row r="3" customFormat="false" ht="15" hidden="false" customHeight="false" outlineLevel="0" collapsed="false">
      <c r="A3" s="2" t="s">
        <v>32</v>
      </c>
      <c r="B3" s="2" t="s">
        <v>27</v>
      </c>
      <c r="C3" s="2" t="s">
        <v>33</v>
      </c>
      <c r="D3" s="2"/>
      <c r="E3" s="2" t="s">
        <v>29</v>
      </c>
      <c r="F3" s="2" t="s">
        <v>30</v>
      </c>
      <c r="G3" s="2" t="s">
        <v>29</v>
      </c>
      <c r="H3" s="2" t="s">
        <v>34</v>
      </c>
    </row>
    <row r="4" customFormat="false" ht="15" hidden="false" customHeight="false" outlineLevel="0" collapsed="false">
      <c r="A4" s="2" t="s">
        <v>35</v>
      </c>
      <c r="B4" s="2" t="s">
        <v>27</v>
      </c>
      <c r="C4" s="2" t="s">
        <v>36</v>
      </c>
      <c r="D4" s="2" t="s">
        <v>37</v>
      </c>
      <c r="E4" s="2" t="s">
        <v>30</v>
      </c>
      <c r="F4" s="2" t="s">
        <v>30</v>
      </c>
      <c r="G4" s="2" t="s">
        <v>29</v>
      </c>
      <c r="H4" s="2" t="s">
        <v>38</v>
      </c>
    </row>
    <row r="5" customFormat="false" ht="15" hidden="false" customHeight="false" outlineLevel="0" collapsed="false">
      <c r="A5" s="2" t="s">
        <v>39</v>
      </c>
      <c r="B5" s="2" t="s">
        <v>27</v>
      </c>
      <c r="C5" s="2" t="s">
        <v>40</v>
      </c>
      <c r="D5" s="2"/>
      <c r="E5" s="2" t="s">
        <v>30</v>
      </c>
      <c r="F5" s="2" t="s">
        <v>30</v>
      </c>
      <c r="G5" s="2" t="s">
        <v>41</v>
      </c>
      <c r="H5" s="2"/>
    </row>
    <row r="6" customFormat="false" ht="15" hidden="false" customHeight="false" outlineLevel="0" collapsed="false">
      <c r="A6" s="2" t="s">
        <v>42</v>
      </c>
      <c r="B6" s="2" t="s">
        <v>27</v>
      </c>
      <c r="C6" s="2" t="s">
        <v>43</v>
      </c>
      <c r="D6" s="2"/>
      <c r="E6" s="2" t="s">
        <v>30</v>
      </c>
      <c r="F6" s="2" t="s">
        <v>30</v>
      </c>
      <c r="G6" s="2" t="s">
        <v>41</v>
      </c>
      <c r="H6" s="2"/>
    </row>
    <row r="7" customFormat="false" ht="15" hidden="false" customHeight="false" outlineLevel="0" collapsed="false">
      <c r="A7" s="2" t="s">
        <v>44</v>
      </c>
      <c r="B7" s="2" t="s">
        <v>27</v>
      </c>
      <c r="C7" s="2" t="s">
        <v>45</v>
      </c>
      <c r="D7" s="2"/>
      <c r="E7" s="2" t="s">
        <v>30</v>
      </c>
      <c r="F7" s="2" t="s">
        <v>30</v>
      </c>
      <c r="G7" s="2" t="s">
        <v>41</v>
      </c>
      <c r="H7" s="2"/>
    </row>
    <row r="8" customFormat="false" ht="15" hidden="false" customHeight="false" outlineLevel="0" collapsed="false">
      <c r="A8" s="2" t="s">
        <v>46</v>
      </c>
      <c r="B8" s="2" t="s">
        <v>27</v>
      </c>
      <c r="C8" s="2" t="s">
        <v>47</v>
      </c>
      <c r="D8" s="2"/>
      <c r="E8" s="2" t="s">
        <v>30</v>
      </c>
      <c r="F8" s="2" t="s">
        <v>30</v>
      </c>
      <c r="G8" s="2" t="s">
        <v>41</v>
      </c>
      <c r="H8" s="2"/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29</v>
      </c>
      <c r="F9" s="2" t="s">
        <v>30</v>
      </c>
      <c r="G9" s="2" t="s">
        <v>41</v>
      </c>
      <c r="H9" s="2" t="s">
        <v>52</v>
      </c>
    </row>
    <row r="10" customFormat="false" ht="15" hidden="false" customHeight="false" outlineLevel="0" collapsed="false">
      <c r="A10" s="2" t="s">
        <v>53</v>
      </c>
      <c r="B10" s="2" t="s">
        <v>49</v>
      </c>
      <c r="C10" s="2" t="s">
        <v>50</v>
      </c>
      <c r="D10" s="2" t="s">
        <v>54</v>
      </c>
      <c r="E10" s="2" t="s">
        <v>30</v>
      </c>
      <c r="F10" s="2" t="s">
        <v>30</v>
      </c>
      <c r="G10" s="2" t="s">
        <v>41</v>
      </c>
      <c r="H10" s="2" t="s">
        <v>55</v>
      </c>
    </row>
    <row r="11" customFormat="false" ht="15" hidden="false" customHeight="false" outlineLevel="0" collapsed="false">
      <c r="A11" s="2" t="s">
        <v>56</v>
      </c>
      <c r="B11" s="2" t="s">
        <v>49</v>
      </c>
      <c r="C11" s="2" t="s">
        <v>50</v>
      </c>
      <c r="D11" s="2" t="s">
        <v>57</v>
      </c>
      <c r="E11" s="2" t="s">
        <v>30</v>
      </c>
      <c r="F11" s="2" t="s">
        <v>30</v>
      </c>
      <c r="G11" s="2" t="s">
        <v>41</v>
      </c>
      <c r="H11" s="2"/>
    </row>
    <row r="12" customFormat="false" ht="15" hidden="false" customHeight="false" outlineLevel="0" collapsed="false">
      <c r="A12" s="2" t="s">
        <v>58</v>
      </c>
      <c r="B12" s="2" t="s">
        <v>49</v>
      </c>
      <c r="C12" s="2" t="s">
        <v>50</v>
      </c>
      <c r="D12" s="2" t="s">
        <v>59</v>
      </c>
      <c r="E12" s="2" t="s">
        <v>30</v>
      </c>
      <c r="F12" s="2" t="s">
        <v>30</v>
      </c>
      <c r="G12" s="2" t="s">
        <v>41</v>
      </c>
      <c r="H12" s="2"/>
    </row>
    <row r="13" customFormat="false" ht="15" hidden="false" customHeight="false" outlineLevel="0" collapsed="false">
      <c r="A13" s="2" t="s">
        <v>60</v>
      </c>
      <c r="B13" s="2" t="s">
        <v>49</v>
      </c>
      <c r="C13" s="2" t="s">
        <v>50</v>
      </c>
      <c r="D13" s="2" t="s">
        <v>61</v>
      </c>
      <c r="E13" s="2" t="s">
        <v>30</v>
      </c>
      <c r="F13" s="2" t="s">
        <v>30</v>
      </c>
      <c r="G13" s="2" t="s">
        <v>41</v>
      </c>
      <c r="H13" s="2"/>
    </row>
    <row r="14" customFormat="false" ht="15" hidden="false" customHeight="false" outlineLevel="0" collapsed="false">
      <c r="A14" s="2" t="s">
        <v>62</v>
      </c>
      <c r="B14" s="2" t="s">
        <v>49</v>
      </c>
      <c r="C14" s="2" t="s">
        <v>63</v>
      </c>
      <c r="D14" s="2" t="s">
        <v>51</v>
      </c>
      <c r="E14" s="2" t="s">
        <v>29</v>
      </c>
      <c r="F14" s="2" t="s">
        <v>30</v>
      </c>
      <c r="G14" s="2" t="s">
        <v>41</v>
      </c>
      <c r="H14" s="2" t="s">
        <v>64</v>
      </c>
    </row>
    <row r="15" customFormat="false" ht="15" hidden="false" customHeight="false" outlineLevel="0" collapsed="false">
      <c r="A15" s="2" t="s">
        <v>65</v>
      </c>
      <c r="B15" s="2" t="s">
        <v>49</v>
      </c>
      <c r="C15" s="2" t="s">
        <v>63</v>
      </c>
      <c r="D15" s="2" t="s">
        <v>66</v>
      </c>
      <c r="E15" s="2" t="s">
        <v>30</v>
      </c>
      <c r="F15" s="2" t="s">
        <v>30</v>
      </c>
      <c r="G15" s="2" t="s">
        <v>41</v>
      </c>
      <c r="H15" s="2"/>
    </row>
    <row r="16" customFormat="false" ht="15" hidden="false" customHeight="false" outlineLevel="0" collapsed="false">
      <c r="A16" s="2" t="s">
        <v>67</v>
      </c>
      <c r="B16" s="2" t="s">
        <v>49</v>
      </c>
      <c r="C16" s="2" t="s">
        <v>63</v>
      </c>
      <c r="D16" s="2" t="s">
        <v>68</v>
      </c>
      <c r="E16" s="2" t="s">
        <v>30</v>
      </c>
      <c r="F16" s="2" t="s">
        <v>30</v>
      </c>
      <c r="G16" s="2" t="s">
        <v>41</v>
      </c>
      <c r="H16" s="2"/>
    </row>
    <row r="17" customFormat="false" ht="15" hidden="false" customHeight="false" outlineLevel="0" collapsed="false">
      <c r="A17" s="2" t="s">
        <v>69</v>
      </c>
      <c r="B17" s="2" t="s">
        <v>49</v>
      </c>
      <c r="C17" s="2" t="s">
        <v>70</v>
      </c>
      <c r="D17" s="2"/>
      <c r="E17" s="2" t="s">
        <v>30</v>
      </c>
      <c r="F17" s="2" t="s">
        <v>30</v>
      </c>
      <c r="G17" s="2" t="s">
        <v>41</v>
      </c>
      <c r="H17" s="2"/>
    </row>
    <row r="18" customFormat="false" ht="15" hidden="false" customHeight="false" outlineLevel="0" collapsed="false">
      <c r="A18" s="2" t="s">
        <v>71</v>
      </c>
      <c r="B18" s="2" t="s">
        <v>49</v>
      </c>
      <c r="C18" s="2" t="s">
        <v>72</v>
      </c>
      <c r="D18" s="2"/>
      <c r="E18" s="2" t="s">
        <v>30</v>
      </c>
      <c r="F18" s="2" t="s">
        <v>30</v>
      </c>
      <c r="G18" s="2" t="s">
        <v>41</v>
      </c>
      <c r="H18" s="2" t="s">
        <v>73</v>
      </c>
    </row>
    <row r="19" customFormat="false" ht="15" hidden="false" customHeight="false" outlineLevel="0" collapsed="false">
      <c r="A19" s="2" t="s">
        <v>74</v>
      </c>
      <c r="B19" s="2" t="s">
        <v>75</v>
      </c>
      <c r="C19" s="2" t="s">
        <v>76</v>
      </c>
      <c r="D19" s="2"/>
      <c r="E19" s="2" t="s">
        <v>30</v>
      </c>
      <c r="F19" s="2" t="s">
        <v>30</v>
      </c>
      <c r="G19" s="2" t="s">
        <v>41</v>
      </c>
      <c r="H19" s="2" t="s">
        <v>77</v>
      </c>
    </row>
    <row r="20" customFormat="false" ht="15" hidden="false" customHeight="false" outlineLevel="0" collapsed="false">
      <c r="A20" s="2" t="s">
        <v>78</v>
      </c>
      <c r="B20" s="2" t="s">
        <v>79</v>
      </c>
      <c r="C20" s="2" t="s">
        <v>80</v>
      </c>
      <c r="D20" s="2"/>
      <c r="E20" s="2" t="s">
        <v>81</v>
      </c>
      <c r="F20" s="2" t="s">
        <v>29</v>
      </c>
      <c r="G20" s="2" t="s">
        <v>41</v>
      </c>
      <c r="H20" s="2" t="s">
        <v>82</v>
      </c>
    </row>
    <row r="21" customFormat="false" ht="15" hidden="false" customHeight="false" outlineLevel="0" collapsed="false">
      <c r="A21" s="2" t="s">
        <v>83</v>
      </c>
      <c r="B21" s="2" t="s">
        <v>79</v>
      </c>
      <c r="C21" s="2" t="s">
        <v>84</v>
      </c>
      <c r="D21" s="2"/>
      <c r="E21" s="2" t="s">
        <v>30</v>
      </c>
      <c r="F21" s="2" t="s">
        <v>29</v>
      </c>
      <c r="G21" s="2" t="s">
        <v>41</v>
      </c>
      <c r="H21" s="2"/>
    </row>
    <row r="22" customFormat="false" ht="15" hidden="false" customHeight="false" outlineLevel="0" collapsed="false">
      <c r="A22" s="2" t="s">
        <v>85</v>
      </c>
      <c r="B22" s="2" t="s">
        <v>79</v>
      </c>
      <c r="C22" s="2" t="s">
        <v>86</v>
      </c>
      <c r="D22" s="2"/>
      <c r="E22" s="2" t="s">
        <v>30</v>
      </c>
      <c r="F22" s="2" t="s">
        <v>29</v>
      </c>
      <c r="G22" s="2" t="s">
        <v>41</v>
      </c>
      <c r="H22" s="2"/>
    </row>
    <row r="23" customFormat="false" ht="15" hidden="false" customHeight="false" outlineLevel="0" collapsed="false">
      <c r="A23" s="2" t="s">
        <v>87</v>
      </c>
      <c r="B23" s="2" t="s">
        <v>88</v>
      </c>
      <c r="C23" s="2" t="s">
        <v>89</v>
      </c>
      <c r="D23" s="2"/>
      <c r="E23" s="2" t="s">
        <v>30</v>
      </c>
      <c r="F23" s="2" t="s">
        <v>30</v>
      </c>
      <c r="G23" s="2" t="s">
        <v>41</v>
      </c>
      <c r="H23" s="2"/>
    </row>
    <row r="24" customFormat="false" ht="15" hidden="false" customHeight="false" outlineLevel="0" collapsed="false">
      <c r="A24" s="2" t="s">
        <v>90</v>
      </c>
      <c r="B24" s="2" t="s">
        <v>88</v>
      </c>
      <c r="C24" s="2" t="s">
        <v>91</v>
      </c>
      <c r="D24" s="2"/>
      <c r="E24" s="2" t="s">
        <v>30</v>
      </c>
      <c r="F24" s="2" t="s">
        <v>30</v>
      </c>
      <c r="G24" s="2" t="s">
        <v>41</v>
      </c>
      <c r="H24" s="2" t="s">
        <v>92</v>
      </c>
    </row>
    <row r="25" customFormat="false" ht="15" hidden="false" customHeight="false" outlineLevel="0" collapsed="false">
      <c r="A25" s="2" t="s">
        <v>93</v>
      </c>
      <c r="B25" s="2" t="s">
        <v>94</v>
      </c>
      <c r="C25" s="2" t="s">
        <v>95</v>
      </c>
      <c r="D25" s="2"/>
      <c r="E25" s="2" t="s">
        <v>30</v>
      </c>
      <c r="F25" s="2" t="s">
        <v>30</v>
      </c>
      <c r="G25" s="2" t="s">
        <v>41</v>
      </c>
      <c r="H25" s="2"/>
    </row>
    <row r="26" customFormat="false" ht="15" hidden="false" customHeight="false" outlineLevel="0" collapsed="false">
      <c r="A26" s="2" t="s">
        <v>96</v>
      </c>
      <c r="B26" s="2" t="s">
        <v>94</v>
      </c>
      <c r="C26" s="2" t="s">
        <v>97</v>
      </c>
      <c r="D26" s="2"/>
      <c r="E26" s="2" t="s">
        <v>30</v>
      </c>
      <c r="F26" s="2" t="s">
        <v>30</v>
      </c>
      <c r="G26" s="2" t="s">
        <v>41</v>
      </c>
      <c r="H26" s="2"/>
    </row>
  </sheetData>
  <autoFilter ref="A1:H26"/>
  <dataValidations count="3">
    <dataValidation allowBlank="true" errorStyle="stop" operator="between" showDropDown="false" showErrorMessage="false" showInputMessage="false" sqref="E2:E1026" type="list">
      <formula1>"Y,N,Proposed"</formula1>
      <formula2>0</formula2>
    </dataValidation>
    <dataValidation allowBlank="true" errorStyle="stop" operator="between" showDropDown="false" showErrorMessage="false" showInputMessage="false" sqref="F2:F1026" type="list">
      <formula1>"Y,N"</formula1>
      <formula2>0</formula2>
    </dataValidation>
    <dataValidation allowBlank="true" errorStyle="stop" operator="between" showDropDown="false" showErrorMessage="false" showInputMessage="false" sqref="G2:G1026" type="list">
      <formula1>"Y,N,?"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4"/>
    <col collapsed="false" customWidth="true" hidden="false" outlineLevel="0" max="5" min="4" style="0" width="16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9" min="8" style="0" width="9"/>
    <col collapsed="false" customWidth="true" hidden="false" outlineLevel="0" max="10" min="10" style="0" width="55"/>
    <col collapsed="false" customWidth="true" hidden="false" outlineLevel="0" max="11" min="11" style="0" width="40"/>
  </cols>
  <sheetData>
    <row r="1" customFormat="false" ht="30" hidden="false" customHeight="true" outlineLevel="0" collapsed="false">
      <c r="A1" s="4" t="s">
        <v>98</v>
      </c>
      <c r="B1" s="4" t="s">
        <v>99</v>
      </c>
      <c r="C1" s="4" t="s">
        <v>100</v>
      </c>
      <c r="D1" s="4" t="s">
        <v>101</v>
      </c>
      <c r="E1" s="4" t="s">
        <v>102</v>
      </c>
      <c r="F1" s="4" t="s">
        <v>103</v>
      </c>
      <c r="G1" s="4" t="s">
        <v>104</v>
      </c>
      <c r="H1" s="4" t="s">
        <v>105</v>
      </c>
      <c r="I1" s="4" t="s">
        <v>106</v>
      </c>
      <c r="J1" s="4" t="s">
        <v>107</v>
      </c>
      <c r="K1" s="4" t="s">
        <v>25</v>
      </c>
    </row>
    <row r="2" customFormat="false" ht="15" hidden="false" customHeight="false" outlineLevel="0" collapsed="false">
      <c r="A2" s="2" t="s">
        <v>108</v>
      </c>
      <c r="B2" s="2" t="s">
        <v>109</v>
      </c>
      <c r="C2" s="2" t="s">
        <v>110</v>
      </c>
      <c r="D2" s="2" t="s">
        <v>111</v>
      </c>
      <c r="E2" s="2" t="s">
        <v>112</v>
      </c>
      <c r="F2" s="2"/>
      <c r="G2" s="2"/>
      <c r="H2" s="2" t="n">
        <v>47.8</v>
      </c>
      <c r="I2" s="2" t="n">
        <v>13.04</v>
      </c>
      <c r="J2" s="2" t="s">
        <v>113</v>
      </c>
      <c r="K2" s="2" t="s">
        <v>114</v>
      </c>
    </row>
    <row r="3" customFormat="false" ht="15" hidden="false" customHeight="false" outlineLevel="0" collapsed="false">
      <c r="A3" s="2" t="s">
        <v>115</v>
      </c>
      <c r="B3" s="2" t="s">
        <v>116</v>
      </c>
      <c r="C3" s="2" t="s">
        <v>110</v>
      </c>
      <c r="D3" s="2" t="s">
        <v>111</v>
      </c>
      <c r="E3" s="2" t="s">
        <v>112</v>
      </c>
      <c r="F3" s="2"/>
      <c r="G3" s="2"/>
      <c r="H3" s="2" t="n">
        <v>47.27</v>
      </c>
      <c r="I3" s="2" t="n">
        <v>11.39</v>
      </c>
      <c r="J3" s="2" t="s">
        <v>117</v>
      </c>
      <c r="K3" s="2"/>
    </row>
    <row r="4" customFormat="false" ht="15" hidden="false" customHeight="false" outlineLevel="0" collapsed="false">
      <c r="A4" s="2" t="s">
        <v>118</v>
      </c>
      <c r="B4" s="2" t="s">
        <v>119</v>
      </c>
      <c r="C4" s="2" t="s">
        <v>110</v>
      </c>
      <c r="D4" s="2" t="s">
        <v>111</v>
      </c>
      <c r="E4" s="2" t="s">
        <v>120</v>
      </c>
      <c r="F4" s="2"/>
      <c r="G4" s="2"/>
      <c r="H4" s="2" t="n">
        <v>48.21</v>
      </c>
      <c r="I4" s="2" t="n">
        <v>16.37</v>
      </c>
      <c r="J4" s="2" t="s">
        <v>121</v>
      </c>
      <c r="K4" s="2"/>
    </row>
    <row r="5" customFormat="false" ht="15" hidden="false" customHeight="false" outlineLevel="0" collapsed="false">
      <c r="A5" s="2" t="s">
        <v>122</v>
      </c>
      <c r="B5" s="2" t="s">
        <v>123</v>
      </c>
      <c r="C5" s="2" t="s">
        <v>124</v>
      </c>
      <c r="D5" s="2" t="s">
        <v>111</v>
      </c>
      <c r="E5" s="2" t="s">
        <v>120</v>
      </c>
      <c r="F5" s="2"/>
      <c r="G5" s="2"/>
      <c r="H5" s="2" t="n">
        <v>48.14</v>
      </c>
      <c r="I5" s="2" t="n">
        <v>11.58</v>
      </c>
      <c r="J5" s="2" t="s">
        <v>125</v>
      </c>
      <c r="K5" s="2"/>
    </row>
    <row r="6" customFormat="false" ht="15" hidden="false" customHeight="false" outlineLevel="0" collapsed="false">
      <c r="A6" s="2" t="s">
        <v>126</v>
      </c>
      <c r="B6" s="2" t="s">
        <v>127</v>
      </c>
      <c r="C6" s="2" t="s">
        <v>128</v>
      </c>
      <c r="D6" s="2" t="s">
        <v>111</v>
      </c>
      <c r="E6" s="2" t="s">
        <v>120</v>
      </c>
      <c r="F6" s="2"/>
      <c r="G6" s="2"/>
      <c r="H6" s="2" t="n">
        <v>45.46</v>
      </c>
      <c r="I6" s="2" t="n">
        <v>9.19</v>
      </c>
      <c r="J6" s="2" t="s">
        <v>129</v>
      </c>
      <c r="K6" s="2"/>
    </row>
    <row r="7" customFormat="false" ht="23.85" hidden="false" customHeight="false" outlineLevel="0" collapsed="false">
      <c r="A7" s="2" t="s">
        <v>130</v>
      </c>
      <c r="B7" s="2" t="s">
        <v>131</v>
      </c>
      <c r="C7" s="2" t="s">
        <v>132</v>
      </c>
      <c r="D7" s="2" t="s">
        <v>111</v>
      </c>
      <c r="E7" s="2" t="s">
        <v>120</v>
      </c>
      <c r="F7" s="2"/>
      <c r="G7" s="2"/>
      <c r="H7" s="2" t="n">
        <v>41.39</v>
      </c>
      <c r="I7" s="2" t="n">
        <v>2.17</v>
      </c>
      <c r="J7" s="2" t="s">
        <v>133</v>
      </c>
      <c r="K7" s="2"/>
    </row>
    <row r="8" customFormat="false" ht="15" hidden="false" customHeight="false" outlineLevel="0" collapsed="false">
      <c r="A8" s="2" t="s">
        <v>134</v>
      </c>
      <c r="B8" s="2" t="s">
        <v>135</v>
      </c>
      <c r="C8" s="2" t="s">
        <v>136</v>
      </c>
      <c r="D8" s="2" t="s">
        <v>111</v>
      </c>
      <c r="E8" s="2" t="s">
        <v>137</v>
      </c>
      <c r="F8" s="2"/>
      <c r="G8" s="2"/>
      <c r="H8" s="2" t="n">
        <v>52.37</v>
      </c>
      <c r="I8" s="2" t="n">
        <v>4.9</v>
      </c>
      <c r="J8" s="2" t="s">
        <v>138</v>
      </c>
      <c r="K8" s="2" t="s">
        <v>139</v>
      </c>
    </row>
    <row r="9" customFormat="false" ht="15" hidden="false" customHeight="false" outlineLevel="0" collapsed="false">
      <c r="A9" s="2" t="s">
        <v>140</v>
      </c>
      <c r="B9" s="2" t="s">
        <v>141</v>
      </c>
      <c r="C9" s="2" t="s">
        <v>124</v>
      </c>
      <c r="D9" s="2" t="s">
        <v>111</v>
      </c>
      <c r="E9" s="2" t="s">
        <v>142</v>
      </c>
      <c r="F9" s="2"/>
      <c r="G9" s="2"/>
      <c r="H9" s="2" t="n">
        <v>52.52</v>
      </c>
      <c r="I9" s="2" t="n">
        <v>13.4</v>
      </c>
      <c r="J9" s="2" t="s">
        <v>143</v>
      </c>
      <c r="K9" s="2"/>
    </row>
    <row r="10" customFormat="false" ht="15" hidden="false" customHeight="false" outlineLevel="0" collapsed="false">
      <c r="A10" s="2" t="s">
        <v>144</v>
      </c>
      <c r="B10" s="2" t="s">
        <v>145</v>
      </c>
      <c r="C10" s="2" t="s">
        <v>110</v>
      </c>
      <c r="D10" s="2" t="s">
        <v>146</v>
      </c>
      <c r="E10" s="2" t="s">
        <v>137</v>
      </c>
      <c r="F10" s="2"/>
      <c r="G10" s="2"/>
      <c r="H10" s="2" t="n">
        <v>47.07</v>
      </c>
      <c r="I10" s="2" t="n">
        <v>15.44</v>
      </c>
      <c r="J10" s="2" t="s">
        <v>147</v>
      </c>
      <c r="K10" s="2"/>
    </row>
    <row r="11" customFormat="false" ht="15" hidden="false" customHeight="false" outlineLevel="0" collapsed="false">
      <c r="A11" s="2" t="s">
        <v>148</v>
      </c>
      <c r="B11" s="2" t="s">
        <v>149</v>
      </c>
      <c r="C11" s="2" t="s">
        <v>132</v>
      </c>
      <c r="D11" s="2" t="s">
        <v>146</v>
      </c>
      <c r="E11" s="2" t="s">
        <v>142</v>
      </c>
      <c r="F11" s="2"/>
      <c r="G11" s="2"/>
      <c r="H11" s="2" t="n">
        <v>40.42</v>
      </c>
      <c r="I11" s="2" t="n">
        <v>-3.7</v>
      </c>
      <c r="J11" s="2" t="s">
        <v>143</v>
      </c>
      <c r="K11" s="2"/>
    </row>
    <row r="12" customFormat="false" ht="15" hidden="false" customHeight="false" outlineLevel="0" collapsed="false">
      <c r="A12" s="2" t="s">
        <v>150</v>
      </c>
      <c r="B12" s="2" t="s">
        <v>151</v>
      </c>
      <c r="C12" s="2" t="s">
        <v>152</v>
      </c>
      <c r="D12" s="2" t="s">
        <v>146</v>
      </c>
      <c r="E12" s="2" t="s">
        <v>142</v>
      </c>
      <c r="F12" s="2"/>
      <c r="G12" s="2"/>
      <c r="H12" s="2" t="n">
        <v>48.86</v>
      </c>
      <c r="I12" s="2" t="n">
        <v>2.35</v>
      </c>
      <c r="J12" s="2" t="s">
        <v>153</v>
      </c>
      <c r="K12" s="2" t="s">
        <v>154</v>
      </c>
    </row>
    <row r="13" customFormat="false" ht="23.85" hidden="false" customHeight="false" outlineLevel="0" collapsed="false">
      <c r="A13" s="2" t="s">
        <v>155</v>
      </c>
      <c r="B13" s="2" t="s">
        <v>156</v>
      </c>
      <c r="C13" s="2" t="s">
        <v>157</v>
      </c>
      <c r="D13" s="2" t="s">
        <v>158</v>
      </c>
      <c r="E13" s="2" t="s">
        <v>142</v>
      </c>
      <c r="F13" s="2"/>
      <c r="G13" s="2"/>
      <c r="H13" s="2" t="n">
        <v>40.71</v>
      </c>
      <c r="I13" s="2" t="n">
        <v>-74.01</v>
      </c>
      <c r="J13" s="2" t="s">
        <v>159</v>
      </c>
      <c r="K13" s="2" t="s">
        <v>160</v>
      </c>
    </row>
    <row r="14" customFormat="false" ht="15" hidden="false" customHeight="false" outlineLevel="0" collapsed="false">
      <c r="A14" s="2" t="s">
        <v>161</v>
      </c>
      <c r="B14" s="2" t="s">
        <v>162</v>
      </c>
      <c r="C14" s="2" t="s">
        <v>163</v>
      </c>
      <c r="D14" s="2" t="s">
        <v>158</v>
      </c>
      <c r="E14" s="2" t="s">
        <v>120</v>
      </c>
      <c r="F14" s="2"/>
      <c r="G14" s="2"/>
      <c r="H14" s="2" t="n">
        <v>3.45</v>
      </c>
      <c r="I14" s="2" t="n">
        <v>-76.53</v>
      </c>
      <c r="J14" s="2" t="s">
        <v>164</v>
      </c>
      <c r="K14" s="2" t="s">
        <v>160</v>
      </c>
    </row>
  </sheetData>
  <autoFilter ref="A1:K14"/>
  <dataValidations count="2">
    <dataValidation allowBlank="true" errorStyle="stop" operator="between" showDropDown="false" showErrorMessage="false" showInputMessage="false" sqref="D2:D1014" type="list">
      <formula1>"core,reserve,anchor"</formula1>
      <formula2>0</formula2>
    </dataValidation>
    <dataValidation allowBlank="true" errorStyle="stop" operator="between" showDropDown="false" showErrorMessage="false" showInputMessage="false" sqref="E2:E1014" type="list">
      <formula1>"S,M,L,XL"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5" min="4" style="0" width="28"/>
    <col collapsed="false" customWidth="true" hidden="false" outlineLevel="0" max="6" min="6" style="0" width="50"/>
  </cols>
  <sheetData>
    <row r="1" customFormat="false" ht="30" hidden="false" customHeight="true" outlineLevel="0" collapsed="false">
      <c r="A1" s="4" t="s">
        <v>165</v>
      </c>
      <c r="B1" s="4" t="s">
        <v>166</v>
      </c>
      <c r="C1" s="4" t="s">
        <v>167</v>
      </c>
      <c r="D1" s="4" t="s">
        <v>168</v>
      </c>
      <c r="E1" s="4" t="s">
        <v>169</v>
      </c>
      <c r="F1" s="4" t="s">
        <v>170</v>
      </c>
    </row>
    <row r="2" customFormat="false" ht="23.85" hidden="false" customHeight="false" outlineLevel="0" collapsed="false">
      <c r="A2" s="2" t="s">
        <v>171</v>
      </c>
      <c r="B2" s="2" t="s">
        <v>172</v>
      </c>
      <c r="C2" s="2" t="s">
        <v>173</v>
      </c>
      <c r="D2" s="2" t="s">
        <v>174</v>
      </c>
      <c r="E2" s="2" t="s">
        <v>175</v>
      </c>
      <c r="F2" s="2" t="s">
        <v>176</v>
      </c>
    </row>
    <row r="3" customFormat="false" ht="15" hidden="false" customHeight="false" outlineLevel="0" collapsed="false">
      <c r="A3" s="2" t="s">
        <v>177</v>
      </c>
      <c r="B3" s="2" t="s">
        <v>178</v>
      </c>
      <c r="C3" s="2" t="s">
        <v>179</v>
      </c>
      <c r="D3" s="2" t="s">
        <v>180</v>
      </c>
      <c r="E3" s="2" t="s">
        <v>175</v>
      </c>
      <c r="F3" s="2" t="s">
        <v>181</v>
      </c>
    </row>
    <row r="4" customFormat="false" ht="23.85" hidden="false" customHeight="false" outlineLevel="0" collapsed="false">
      <c r="A4" s="2" t="s">
        <v>182</v>
      </c>
      <c r="B4" s="2" t="s">
        <v>183</v>
      </c>
      <c r="C4" s="2" t="s">
        <v>184</v>
      </c>
      <c r="D4" s="2" t="s">
        <v>185</v>
      </c>
      <c r="E4" s="2" t="s">
        <v>186</v>
      </c>
      <c r="F4" s="2" t="s">
        <v>187</v>
      </c>
    </row>
    <row r="5" customFormat="false" ht="15" hidden="false" customHeight="false" outlineLevel="0" collapsed="false">
      <c r="A5" s="2" t="s">
        <v>188</v>
      </c>
      <c r="B5" s="2" t="s">
        <v>189</v>
      </c>
      <c r="C5" s="2" t="s">
        <v>190</v>
      </c>
      <c r="D5" s="2" t="s">
        <v>191</v>
      </c>
      <c r="E5" s="2" t="s">
        <v>175</v>
      </c>
      <c r="F5" s="2" t="s">
        <v>192</v>
      </c>
    </row>
    <row r="6" customFormat="false" ht="23.85" hidden="false" customHeight="false" outlineLevel="0" collapsed="false">
      <c r="A6" s="2" t="s">
        <v>193</v>
      </c>
      <c r="B6" s="2" t="s">
        <v>194</v>
      </c>
      <c r="C6" s="2" t="s">
        <v>195</v>
      </c>
      <c r="D6" s="2" t="s">
        <v>196</v>
      </c>
      <c r="E6" s="2" t="s">
        <v>197</v>
      </c>
      <c r="F6" s="2" t="s">
        <v>198</v>
      </c>
    </row>
    <row r="7" customFormat="false" ht="23.85" hidden="false" customHeight="false" outlineLevel="0" collapsed="false">
      <c r="A7" s="2" t="s">
        <v>199</v>
      </c>
      <c r="B7" s="2" t="s">
        <v>200</v>
      </c>
      <c r="C7" s="2" t="s">
        <v>201</v>
      </c>
      <c r="D7" s="2" t="s">
        <v>202</v>
      </c>
      <c r="E7" s="2" t="s">
        <v>197</v>
      </c>
      <c r="F7" s="2" t="s">
        <v>203</v>
      </c>
    </row>
    <row r="8" customFormat="false" ht="15" hidden="false" customHeight="false" outlineLevel="0" collapsed="false">
      <c r="A8" s="2" t="s">
        <v>204</v>
      </c>
      <c r="B8" s="2" t="s">
        <v>205</v>
      </c>
      <c r="C8" s="2" t="s">
        <v>206</v>
      </c>
      <c r="D8" s="2" t="s">
        <v>207</v>
      </c>
      <c r="E8" s="2" t="s">
        <v>197</v>
      </c>
      <c r="F8" s="2" t="s">
        <v>208</v>
      </c>
    </row>
    <row r="9" customFormat="false" ht="23.85" hidden="false" customHeight="false" outlineLevel="0" collapsed="false">
      <c r="A9" s="2" t="s">
        <v>209</v>
      </c>
      <c r="B9" s="2" t="s">
        <v>210</v>
      </c>
      <c r="C9" s="2" t="s">
        <v>211</v>
      </c>
      <c r="D9" s="2" t="s">
        <v>212</v>
      </c>
      <c r="E9" s="2" t="s">
        <v>213</v>
      </c>
      <c r="F9" s="2" t="s">
        <v>214</v>
      </c>
    </row>
    <row r="10" customFormat="false" ht="15" hidden="false" customHeight="false" outlineLevel="0" collapsed="false">
      <c r="A10" s="2" t="s">
        <v>215</v>
      </c>
      <c r="B10" s="2" t="s">
        <v>216</v>
      </c>
      <c r="C10" s="2" t="s">
        <v>217</v>
      </c>
      <c r="D10" s="2" t="s">
        <v>218</v>
      </c>
      <c r="E10" s="2" t="s">
        <v>219</v>
      </c>
      <c r="F10" s="2" t="s">
        <v>220</v>
      </c>
    </row>
  </sheetData>
  <autoFilter ref="A1:F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50"/>
    <col collapsed="false" customWidth="true" hidden="false" outlineLevel="0" max="10" min="10" style="0" width="14"/>
    <col collapsed="false" customWidth="true" hidden="false" outlineLevel="0" max="11" min="11" style="0" width="40"/>
  </cols>
  <sheetData>
    <row r="1" customFormat="false" ht="30" hidden="false" customHeight="true" outlineLevel="0" collapsed="false">
      <c r="A1" s="4" t="s">
        <v>221</v>
      </c>
      <c r="B1" s="4" t="s">
        <v>98</v>
      </c>
      <c r="C1" s="4" t="s">
        <v>18</v>
      </c>
      <c r="D1" s="4" t="s">
        <v>165</v>
      </c>
      <c r="E1" s="4" t="s">
        <v>222</v>
      </c>
      <c r="F1" s="4" t="s">
        <v>168</v>
      </c>
      <c r="G1" s="4" t="s">
        <v>223</v>
      </c>
      <c r="H1" s="4" t="s">
        <v>224</v>
      </c>
      <c r="I1" s="4" t="s">
        <v>225</v>
      </c>
      <c r="J1" s="4" t="s">
        <v>226</v>
      </c>
      <c r="K1" s="4" t="s">
        <v>25</v>
      </c>
    </row>
    <row r="2" customFormat="false" ht="15" hidden="false" customHeight="false" outlineLevel="0" collapsed="false">
      <c r="A2" s="5" t="s">
        <v>227</v>
      </c>
      <c r="B2" s="5" t="s">
        <v>227</v>
      </c>
      <c r="C2" s="5" t="s">
        <v>32</v>
      </c>
      <c r="D2" s="5" t="s">
        <v>177</v>
      </c>
      <c r="E2" s="5" t="s">
        <v>228</v>
      </c>
      <c r="F2" s="5" t="s">
        <v>229</v>
      </c>
      <c r="G2" s="5" t="n">
        <v>3</v>
      </c>
      <c r="H2" s="5" t="s">
        <v>120</v>
      </c>
      <c r="I2" s="5" t="s">
        <v>230</v>
      </c>
      <c r="J2" s="5" t="s">
        <v>231</v>
      </c>
      <c r="K2" s="5" t="s">
        <v>232</v>
      </c>
    </row>
  </sheetData>
  <autoFilter ref="A1:K2"/>
  <dataValidations count="1">
    <dataValidation allowBlank="true" errorStyle="stop" operator="between" showDropDown="false" showErrorMessage="false" showInputMessage="false" sqref="H2:H1002" type="list">
      <formula1>"H,M,L"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4" min="3" style="0" width="14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30"/>
    <col collapsed="false" customWidth="true" hidden="false" outlineLevel="0" max="10" min="10" style="0" width="18"/>
    <col collapsed="false" customWidth="true" hidden="false" outlineLevel="0" max="11" min="11" style="0" width="38"/>
    <col collapsed="false" customWidth="true" hidden="false" outlineLevel="0" max="12" min="12" style="0" width="14"/>
    <col collapsed="false" customWidth="true" hidden="false" outlineLevel="0" max="13" min="13" style="0" width="60"/>
  </cols>
  <sheetData>
    <row r="1" customFormat="false" ht="30" hidden="false" customHeight="true" outlineLevel="0" collapsed="false">
      <c r="A1" s="4" t="s">
        <v>233</v>
      </c>
      <c r="B1" s="4" t="s">
        <v>234</v>
      </c>
      <c r="C1" s="4" t="s">
        <v>99</v>
      </c>
      <c r="D1" s="4" t="s">
        <v>100</v>
      </c>
      <c r="E1" s="4" t="s">
        <v>18</v>
      </c>
      <c r="F1" s="4" t="s">
        <v>235</v>
      </c>
      <c r="G1" s="4" t="s">
        <v>236</v>
      </c>
      <c r="H1" s="4" t="s">
        <v>237</v>
      </c>
      <c r="I1" s="4" t="s">
        <v>238</v>
      </c>
      <c r="J1" s="4" t="s">
        <v>239</v>
      </c>
      <c r="K1" s="4" t="s">
        <v>225</v>
      </c>
      <c r="L1" s="4" t="s">
        <v>226</v>
      </c>
      <c r="M1" s="4" t="s">
        <v>25</v>
      </c>
    </row>
    <row r="2" customFormat="false" ht="35.05" hidden="false" customHeight="false" outlineLevel="0" collapsed="false">
      <c r="A2" s="2" t="s">
        <v>240</v>
      </c>
      <c r="B2" s="2" t="s">
        <v>241</v>
      </c>
      <c r="C2" s="2" t="s">
        <v>135</v>
      </c>
      <c r="D2" s="2" t="s">
        <v>136</v>
      </c>
      <c r="E2" s="2" t="s">
        <v>78</v>
      </c>
      <c r="F2" s="2" t="s">
        <v>242</v>
      </c>
      <c r="G2" s="2" t="s">
        <v>243</v>
      </c>
      <c r="H2" s="2" t="s">
        <v>244</v>
      </c>
      <c r="I2" s="2" t="s">
        <v>245</v>
      </c>
      <c r="J2" s="2" t="s">
        <v>246</v>
      </c>
      <c r="K2" s="2" t="s">
        <v>247</v>
      </c>
      <c r="L2" s="2" t="s">
        <v>231</v>
      </c>
      <c r="M2" s="2" t="s">
        <v>248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8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28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50"/>
    <col collapsed="false" customWidth="true" hidden="false" outlineLevel="0" max="11" min="11" style="0" width="14"/>
    <col collapsed="false" customWidth="true" hidden="false" outlineLevel="0" max="12" min="12" style="0" width="55"/>
  </cols>
  <sheetData>
    <row r="1" customFormat="false" ht="30" hidden="false" customHeight="true" outlineLevel="0" collapsed="false">
      <c r="A1" s="4" t="s">
        <v>249</v>
      </c>
      <c r="B1" s="4" t="s">
        <v>250</v>
      </c>
      <c r="C1" s="4" t="s">
        <v>251</v>
      </c>
      <c r="D1" s="4" t="s">
        <v>99</v>
      </c>
      <c r="E1" s="4" t="s">
        <v>100</v>
      </c>
      <c r="F1" s="4" t="s">
        <v>252</v>
      </c>
      <c r="G1" s="4" t="s">
        <v>253</v>
      </c>
      <c r="H1" s="4" t="s">
        <v>18</v>
      </c>
      <c r="I1" s="4" t="s">
        <v>254</v>
      </c>
      <c r="J1" s="4" t="s">
        <v>225</v>
      </c>
      <c r="K1" s="4" t="s">
        <v>226</v>
      </c>
      <c r="L1" s="4" t="s">
        <v>25</v>
      </c>
    </row>
    <row r="2" customFormat="false" ht="15" hidden="false" customHeight="false" outlineLevel="0" collapsed="false">
      <c r="A2" s="2" t="s">
        <v>255</v>
      </c>
      <c r="B2" s="2" t="s">
        <v>256</v>
      </c>
      <c r="C2" s="2" t="s">
        <v>257</v>
      </c>
      <c r="D2" s="2" t="s">
        <v>149</v>
      </c>
      <c r="E2" s="2" t="s">
        <v>132</v>
      </c>
      <c r="F2" s="2" t="s">
        <v>258</v>
      </c>
      <c r="G2" s="2"/>
      <c r="H2" s="2" t="s">
        <v>26</v>
      </c>
      <c r="I2" s="2" t="s">
        <v>259</v>
      </c>
      <c r="J2" s="2" t="s">
        <v>260</v>
      </c>
      <c r="K2" s="2" t="s">
        <v>231</v>
      </c>
      <c r="L2" s="2"/>
    </row>
    <row r="3" customFormat="false" ht="15" hidden="false" customHeight="false" outlineLevel="0" collapsed="false">
      <c r="A3" s="2" t="s">
        <v>261</v>
      </c>
      <c r="B3" s="2" t="s">
        <v>256</v>
      </c>
      <c r="C3" s="2" t="s">
        <v>257</v>
      </c>
      <c r="D3" s="2" t="s">
        <v>141</v>
      </c>
      <c r="E3" s="2" t="s">
        <v>124</v>
      </c>
      <c r="F3" s="2" t="s">
        <v>262</v>
      </c>
      <c r="G3" s="2"/>
      <c r="H3" s="2" t="s">
        <v>26</v>
      </c>
      <c r="I3" s="2" t="s">
        <v>259</v>
      </c>
      <c r="J3" s="2" t="s">
        <v>260</v>
      </c>
      <c r="K3" s="2" t="s">
        <v>231</v>
      </c>
      <c r="L3" s="2"/>
    </row>
    <row r="4" customFormat="false" ht="15" hidden="false" customHeight="false" outlineLevel="0" collapsed="false">
      <c r="A4" s="2" t="s">
        <v>263</v>
      </c>
      <c r="B4" s="2" t="s">
        <v>256</v>
      </c>
      <c r="C4" s="2" t="s">
        <v>257</v>
      </c>
      <c r="D4" s="2" t="s">
        <v>264</v>
      </c>
      <c r="E4" s="2" t="s">
        <v>136</v>
      </c>
      <c r="F4" s="2" t="s">
        <v>265</v>
      </c>
      <c r="G4" s="2"/>
      <c r="H4" s="2" t="s">
        <v>26</v>
      </c>
      <c r="I4" s="2" t="s">
        <v>259</v>
      </c>
      <c r="J4" s="2" t="s">
        <v>260</v>
      </c>
      <c r="K4" s="2" t="s">
        <v>231</v>
      </c>
      <c r="L4" s="2"/>
    </row>
    <row r="5" customFormat="false" ht="15" hidden="false" customHeight="false" outlineLevel="0" collapsed="false">
      <c r="A5" s="2" t="s">
        <v>266</v>
      </c>
      <c r="B5" s="2" t="s">
        <v>256</v>
      </c>
      <c r="C5" s="2" t="s">
        <v>257</v>
      </c>
      <c r="D5" s="2" t="s">
        <v>267</v>
      </c>
      <c r="E5" s="2" t="s">
        <v>268</v>
      </c>
      <c r="F5" s="2" t="s">
        <v>269</v>
      </c>
      <c r="G5" s="2"/>
      <c r="H5" s="2" t="s">
        <v>26</v>
      </c>
      <c r="I5" s="2" t="s">
        <v>259</v>
      </c>
      <c r="J5" s="2" t="s">
        <v>260</v>
      </c>
      <c r="K5" s="2" t="s">
        <v>231</v>
      </c>
      <c r="L5" s="2"/>
    </row>
    <row r="6" customFormat="false" ht="15" hidden="false" customHeight="false" outlineLevel="0" collapsed="false">
      <c r="A6" s="2" t="s">
        <v>270</v>
      </c>
      <c r="B6" s="2" t="s">
        <v>256</v>
      </c>
      <c r="C6" s="2" t="s">
        <v>257</v>
      </c>
      <c r="D6" s="2" t="s">
        <v>271</v>
      </c>
      <c r="E6" s="2" t="s">
        <v>272</v>
      </c>
      <c r="F6" s="2" t="s">
        <v>273</v>
      </c>
      <c r="G6" s="2" t="s">
        <v>274</v>
      </c>
      <c r="H6" s="2" t="s">
        <v>26</v>
      </c>
      <c r="I6" s="2" t="s">
        <v>259</v>
      </c>
      <c r="J6" s="2" t="s">
        <v>260</v>
      </c>
      <c r="K6" s="2" t="s">
        <v>231</v>
      </c>
      <c r="L6" s="2"/>
    </row>
    <row r="7" customFormat="false" ht="15" hidden="false" customHeight="false" outlineLevel="0" collapsed="false">
      <c r="A7" s="2" t="s">
        <v>275</v>
      </c>
      <c r="B7" s="2" t="s">
        <v>256</v>
      </c>
      <c r="C7" s="2" t="s">
        <v>257</v>
      </c>
      <c r="D7" s="2" t="s">
        <v>116</v>
      </c>
      <c r="E7" s="2" t="s">
        <v>110</v>
      </c>
      <c r="F7" s="2" t="s">
        <v>276</v>
      </c>
      <c r="G7" s="2" t="s">
        <v>277</v>
      </c>
      <c r="H7" s="2" t="s">
        <v>26</v>
      </c>
      <c r="I7" s="2" t="s">
        <v>259</v>
      </c>
      <c r="J7" s="2" t="s">
        <v>260</v>
      </c>
      <c r="K7" s="2" t="s">
        <v>231</v>
      </c>
      <c r="L7" s="2"/>
    </row>
    <row r="8" customFormat="false" ht="15" hidden="false" customHeight="false" outlineLevel="0" collapsed="false">
      <c r="A8" s="2" t="s">
        <v>278</v>
      </c>
      <c r="B8" s="2" t="s">
        <v>256</v>
      </c>
      <c r="C8" s="2" t="s">
        <v>257</v>
      </c>
      <c r="D8" s="2" t="s">
        <v>279</v>
      </c>
      <c r="E8" s="2" t="s">
        <v>280</v>
      </c>
      <c r="F8" s="2" t="s">
        <v>281</v>
      </c>
      <c r="G8" s="2" t="s">
        <v>282</v>
      </c>
      <c r="H8" s="2" t="s">
        <v>26</v>
      </c>
      <c r="I8" s="2" t="s">
        <v>283</v>
      </c>
      <c r="J8" s="2" t="s">
        <v>260</v>
      </c>
      <c r="K8" s="2" t="s">
        <v>231</v>
      </c>
      <c r="L8" s="2" t="s">
        <v>284</v>
      </c>
    </row>
    <row r="9" customFormat="false" ht="15" hidden="false" customHeight="false" outlineLevel="0" collapsed="false">
      <c r="A9" s="2" t="s">
        <v>285</v>
      </c>
      <c r="B9" s="2" t="s">
        <v>256</v>
      </c>
      <c r="C9" s="2" t="s">
        <v>257</v>
      </c>
      <c r="D9" s="2" t="s">
        <v>286</v>
      </c>
      <c r="E9" s="2" t="s">
        <v>287</v>
      </c>
      <c r="F9" s="2" t="s">
        <v>288</v>
      </c>
      <c r="G9" s="2" t="s">
        <v>289</v>
      </c>
      <c r="H9" s="2" t="s">
        <v>26</v>
      </c>
      <c r="I9" s="2" t="s">
        <v>283</v>
      </c>
      <c r="J9" s="2" t="s">
        <v>260</v>
      </c>
      <c r="K9" s="2" t="s">
        <v>231</v>
      </c>
      <c r="L9" s="2" t="s">
        <v>290</v>
      </c>
    </row>
    <row r="10" customFormat="false" ht="15" hidden="false" customHeight="false" outlineLevel="0" collapsed="false">
      <c r="A10" s="2" t="s">
        <v>291</v>
      </c>
      <c r="B10" s="2" t="s">
        <v>256</v>
      </c>
      <c r="C10" s="2" t="s">
        <v>257</v>
      </c>
      <c r="D10" s="2" t="s">
        <v>292</v>
      </c>
      <c r="E10" s="2" t="s">
        <v>293</v>
      </c>
      <c r="F10" s="2" t="s">
        <v>294</v>
      </c>
      <c r="G10" s="2" t="s">
        <v>295</v>
      </c>
      <c r="H10" s="2" t="s">
        <v>26</v>
      </c>
      <c r="I10" s="2" t="s">
        <v>283</v>
      </c>
      <c r="J10" s="2" t="s">
        <v>260</v>
      </c>
      <c r="K10" s="2" t="s">
        <v>231</v>
      </c>
      <c r="L10" s="2" t="s">
        <v>296</v>
      </c>
    </row>
    <row r="11" customFormat="false" ht="15" hidden="false" customHeight="false" outlineLevel="0" collapsed="false">
      <c r="A11" s="2" t="s">
        <v>297</v>
      </c>
      <c r="B11" s="2" t="s">
        <v>256</v>
      </c>
      <c r="C11" s="2" t="s">
        <v>257</v>
      </c>
      <c r="D11" s="2" t="s">
        <v>298</v>
      </c>
      <c r="E11" s="2" t="s">
        <v>128</v>
      </c>
      <c r="F11" s="2" t="s">
        <v>294</v>
      </c>
      <c r="G11" s="2"/>
      <c r="H11" s="2" t="s">
        <v>26</v>
      </c>
      <c r="I11" s="2" t="s">
        <v>259</v>
      </c>
      <c r="J11" s="2" t="s">
        <v>260</v>
      </c>
      <c r="K11" s="2" t="s">
        <v>231</v>
      </c>
      <c r="L11" s="2"/>
    </row>
    <row r="12" customFormat="false" ht="15" hidden="false" customHeight="false" outlineLevel="0" collapsed="false">
      <c r="A12" s="2" t="s">
        <v>299</v>
      </c>
      <c r="B12" s="2" t="s">
        <v>256</v>
      </c>
      <c r="C12" s="2" t="s">
        <v>257</v>
      </c>
      <c r="D12" s="2" t="s">
        <v>300</v>
      </c>
      <c r="E12" s="2" t="s">
        <v>152</v>
      </c>
      <c r="F12" s="2" t="s">
        <v>301</v>
      </c>
      <c r="G12" s="2" t="s">
        <v>302</v>
      </c>
      <c r="H12" s="2" t="s">
        <v>26</v>
      </c>
      <c r="I12" s="2" t="s">
        <v>259</v>
      </c>
      <c r="J12" s="2" t="s">
        <v>260</v>
      </c>
      <c r="K12" s="2" t="s">
        <v>231</v>
      </c>
      <c r="L12" s="2" t="s">
        <v>303</v>
      </c>
    </row>
    <row r="13" customFormat="false" ht="15" hidden="false" customHeight="false" outlineLevel="0" collapsed="false">
      <c r="A13" s="2" t="s">
        <v>304</v>
      </c>
      <c r="B13" s="2" t="s">
        <v>256</v>
      </c>
      <c r="C13" s="2" t="s">
        <v>305</v>
      </c>
      <c r="D13" s="2" t="s">
        <v>306</v>
      </c>
      <c r="E13" s="2" t="s">
        <v>307</v>
      </c>
      <c r="F13" s="2" t="s">
        <v>308</v>
      </c>
      <c r="G13" s="2"/>
      <c r="H13" s="2" t="s">
        <v>26</v>
      </c>
      <c r="I13" s="2" t="s">
        <v>259</v>
      </c>
      <c r="J13" s="2" t="s">
        <v>260</v>
      </c>
      <c r="K13" s="2" t="s">
        <v>231</v>
      </c>
      <c r="L13" s="2" t="s">
        <v>309</v>
      </c>
    </row>
    <row r="14" customFormat="false" ht="15" hidden="false" customHeight="false" outlineLevel="0" collapsed="false">
      <c r="A14" s="2" t="s">
        <v>310</v>
      </c>
      <c r="B14" s="2" t="s">
        <v>256</v>
      </c>
      <c r="C14" s="2" t="s">
        <v>311</v>
      </c>
      <c r="D14" s="2" t="s">
        <v>312</v>
      </c>
      <c r="E14" s="2" t="s">
        <v>313</v>
      </c>
      <c r="F14" s="2" t="s">
        <v>314</v>
      </c>
      <c r="G14" s="2"/>
      <c r="H14" s="2" t="s">
        <v>26</v>
      </c>
      <c r="I14" s="2" t="s">
        <v>259</v>
      </c>
      <c r="J14" s="2" t="s">
        <v>260</v>
      </c>
      <c r="K14" s="2" t="s">
        <v>231</v>
      </c>
      <c r="L14" s="2"/>
    </row>
    <row r="15" customFormat="false" ht="15" hidden="false" customHeight="false" outlineLevel="0" collapsed="false">
      <c r="A15" s="2" t="s">
        <v>315</v>
      </c>
      <c r="B15" s="2" t="s">
        <v>256</v>
      </c>
      <c r="C15" s="2" t="s">
        <v>311</v>
      </c>
      <c r="D15" s="2" t="s">
        <v>316</v>
      </c>
      <c r="E15" s="2" t="s">
        <v>157</v>
      </c>
      <c r="F15" s="2" t="s">
        <v>317</v>
      </c>
      <c r="G15" s="2" t="s">
        <v>318</v>
      </c>
      <c r="H15" s="2" t="s">
        <v>26</v>
      </c>
      <c r="I15" s="2" t="s">
        <v>259</v>
      </c>
      <c r="J15" s="2" t="s">
        <v>260</v>
      </c>
      <c r="K15" s="2" t="s">
        <v>231</v>
      </c>
      <c r="L15" s="2"/>
    </row>
    <row r="16" customFormat="false" ht="15" hidden="false" customHeight="false" outlineLevel="0" collapsed="false">
      <c r="A16" s="2" t="s">
        <v>319</v>
      </c>
      <c r="B16" s="2" t="s">
        <v>256</v>
      </c>
      <c r="C16" s="2" t="s">
        <v>311</v>
      </c>
      <c r="D16" s="2" t="s">
        <v>320</v>
      </c>
      <c r="E16" s="2" t="s">
        <v>157</v>
      </c>
      <c r="F16" s="2" t="s">
        <v>321</v>
      </c>
      <c r="G16" s="2" t="s">
        <v>322</v>
      </c>
      <c r="H16" s="2" t="s">
        <v>26</v>
      </c>
      <c r="I16" s="2" t="s">
        <v>259</v>
      </c>
      <c r="J16" s="2" t="s">
        <v>260</v>
      </c>
      <c r="K16" s="2" t="s">
        <v>231</v>
      </c>
      <c r="L16" s="2"/>
    </row>
    <row r="17" customFormat="false" ht="15" hidden="false" customHeight="false" outlineLevel="0" collapsed="false">
      <c r="A17" s="2" t="s">
        <v>323</v>
      </c>
      <c r="B17" s="2" t="s">
        <v>256</v>
      </c>
      <c r="C17" s="2" t="s">
        <v>311</v>
      </c>
      <c r="D17" s="2" t="s">
        <v>324</v>
      </c>
      <c r="E17" s="2" t="s">
        <v>157</v>
      </c>
      <c r="F17" s="2" t="s">
        <v>325</v>
      </c>
      <c r="G17" s="2" t="s">
        <v>326</v>
      </c>
      <c r="H17" s="2" t="s">
        <v>26</v>
      </c>
      <c r="I17" s="2" t="s">
        <v>259</v>
      </c>
      <c r="J17" s="2" t="s">
        <v>260</v>
      </c>
      <c r="K17" s="2" t="s">
        <v>231</v>
      </c>
      <c r="L17" s="2"/>
    </row>
    <row r="18" customFormat="false" ht="15" hidden="false" customHeight="false" outlineLevel="0" collapsed="false">
      <c r="A18" s="2" t="s">
        <v>327</v>
      </c>
      <c r="B18" s="2" t="s">
        <v>256</v>
      </c>
      <c r="C18" s="2" t="s">
        <v>311</v>
      </c>
      <c r="D18" s="2"/>
      <c r="E18" s="2" t="s">
        <v>157</v>
      </c>
      <c r="F18" s="2" t="s">
        <v>328</v>
      </c>
      <c r="G18" s="2" t="s">
        <v>329</v>
      </c>
      <c r="H18" s="2" t="s">
        <v>26</v>
      </c>
      <c r="I18" s="2" t="s">
        <v>330</v>
      </c>
      <c r="J18" s="2" t="s">
        <v>260</v>
      </c>
      <c r="K18" s="2" t="s">
        <v>231</v>
      </c>
      <c r="L18" s="2"/>
    </row>
    <row r="19" customFormat="false" ht="15" hidden="false" customHeight="false" outlineLevel="0" collapsed="false">
      <c r="A19" s="2" t="s">
        <v>331</v>
      </c>
      <c r="B19" s="2" t="s">
        <v>256</v>
      </c>
      <c r="C19" s="2" t="s">
        <v>311</v>
      </c>
      <c r="D19" s="2"/>
      <c r="E19" s="2" t="s">
        <v>332</v>
      </c>
      <c r="F19" s="2" t="s">
        <v>325</v>
      </c>
      <c r="G19" s="2" t="s">
        <v>333</v>
      </c>
      <c r="H19" s="2" t="s">
        <v>26</v>
      </c>
      <c r="I19" s="2" t="s">
        <v>330</v>
      </c>
      <c r="J19" s="2" t="s">
        <v>260</v>
      </c>
      <c r="K19" s="2" t="s">
        <v>231</v>
      </c>
      <c r="L19" s="2"/>
    </row>
    <row r="20" customFormat="false" ht="15" hidden="false" customHeight="false" outlineLevel="0" collapsed="false">
      <c r="A20" s="2" t="s">
        <v>334</v>
      </c>
      <c r="B20" s="2" t="s">
        <v>256</v>
      </c>
      <c r="C20" s="2" t="s">
        <v>311</v>
      </c>
      <c r="D20" s="2" t="s">
        <v>335</v>
      </c>
      <c r="E20" s="2" t="s">
        <v>336</v>
      </c>
      <c r="F20" s="2" t="s">
        <v>337</v>
      </c>
      <c r="G20" s="2"/>
      <c r="H20" s="2" t="s">
        <v>26</v>
      </c>
      <c r="I20" s="2" t="s">
        <v>259</v>
      </c>
      <c r="J20" s="2" t="s">
        <v>260</v>
      </c>
      <c r="K20" s="2" t="s">
        <v>231</v>
      </c>
      <c r="L20" s="2"/>
    </row>
    <row r="21" customFormat="false" ht="15" hidden="false" customHeight="false" outlineLevel="0" collapsed="false">
      <c r="A21" s="2" t="s">
        <v>338</v>
      </c>
      <c r="B21" s="2" t="s">
        <v>256</v>
      </c>
      <c r="C21" s="2" t="s">
        <v>311</v>
      </c>
      <c r="D21" s="2" t="s">
        <v>339</v>
      </c>
      <c r="E21" s="2" t="s">
        <v>163</v>
      </c>
      <c r="F21" s="2" t="s">
        <v>340</v>
      </c>
      <c r="G21" s="2"/>
      <c r="H21" s="2" t="s">
        <v>26</v>
      </c>
      <c r="I21" s="2" t="s">
        <v>259</v>
      </c>
      <c r="J21" s="2" t="s">
        <v>260</v>
      </c>
      <c r="K21" s="2" t="s">
        <v>231</v>
      </c>
      <c r="L21" s="2"/>
    </row>
    <row r="22" customFormat="false" ht="15" hidden="false" customHeight="false" outlineLevel="0" collapsed="false">
      <c r="A22" s="2" t="s">
        <v>341</v>
      </c>
      <c r="B22" s="2" t="s">
        <v>256</v>
      </c>
      <c r="C22" s="2" t="s">
        <v>311</v>
      </c>
      <c r="D22" s="2"/>
      <c r="E22" s="2" t="s">
        <v>342</v>
      </c>
      <c r="F22" s="2" t="s">
        <v>343</v>
      </c>
      <c r="G22" s="2" t="s">
        <v>344</v>
      </c>
      <c r="H22" s="2" t="s">
        <v>26</v>
      </c>
      <c r="I22" s="2" t="s">
        <v>330</v>
      </c>
      <c r="J22" s="2" t="s">
        <v>260</v>
      </c>
      <c r="K22" s="2" t="s">
        <v>231</v>
      </c>
      <c r="L22" s="2"/>
    </row>
    <row r="23" customFormat="false" ht="23.85" hidden="false" customHeight="false" outlineLevel="0" collapsed="false">
      <c r="A23" s="2" t="s">
        <v>345</v>
      </c>
      <c r="B23" s="2" t="s">
        <v>256</v>
      </c>
      <c r="C23" s="2" t="s">
        <v>311</v>
      </c>
      <c r="D23" s="2"/>
      <c r="E23" s="2" t="s">
        <v>346</v>
      </c>
      <c r="F23" s="2" t="s">
        <v>347</v>
      </c>
      <c r="G23" s="2" t="s">
        <v>348</v>
      </c>
      <c r="H23" s="2" t="s">
        <v>26</v>
      </c>
      <c r="I23" s="2" t="s">
        <v>330</v>
      </c>
      <c r="J23" s="2" t="s">
        <v>260</v>
      </c>
      <c r="K23" s="2" t="s">
        <v>231</v>
      </c>
      <c r="L23" s="2"/>
    </row>
    <row r="24" customFormat="false" ht="15" hidden="false" customHeight="false" outlineLevel="0" collapsed="false">
      <c r="A24" s="2" t="s">
        <v>349</v>
      </c>
      <c r="B24" s="2" t="s">
        <v>256</v>
      </c>
      <c r="C24" s="2" t="s">
        <v>311</v>
      </c>
      <c r="D24" s="2"/>
      <c r="E24" s="2" t="s">
        <v>307</v>
      </c>
      <c r="F24" s="2" t="s">
        <v>350</v>
      </c>
      <c r="G24" s="2"/>
      <c r="H24" s="2" t="s">
        <v>26</v>
      </c>
      <c r="I24" s="2" t="s">
        <v>330</v>
      </c>
      <c r="J24" s="2" t="s">
        <v>260</v>
      </c>
      <c r="K24" s="2" t="s">
        <v>231</v>
      </c>
      <c r="L24" s="2"/>
    </row>
    <row r="25" customFormat="false" ht="15" hidden="false" customHeight="false" outlineLevel="0" collapsed="false">
      <c r="A25" s="2" t="s">
        <v>351</v>
      </c>
      <c r="B25" s="2" t="s">
        <v>256</v>
      </c>
      <c r="C25" s="2" t="s">
        <v>311</v>
      </c>
      <c r="D25" s="2"/>
      <c r="E25" s="2" t="s">
        <v>352</v>
      </c>
      <c r="F25" s="2" t="s">
        <v>353</v>
      </c>
      <c r="G25" s="2" t="s">
        <v>354</v>
      </c>
      <c r="H25" s="2" t="s">
        <v>26</v>
      </c>
      <c r="I25" s="2" t="s">
        <v>330</v>
      </c>
      <c r="J25" s="2" t="s">
        <v>260</v>
      </c>
      <c r="K25" s="2" t="s">
        <v>231</v>
      </c>
      <c r="L25" s="2"/>
    </row>
    <row r="26" customFormat="false" ht="15" hidden="false" customHeight="false" outlineLevel="0" collapsed="false">
      <c r="A26" s="2" t="s">
        <v>355</v>
      </c>
      <c r="B26" s="2" t="s">
        <v>256</v>
      </c>
      <c r="C26" s="2" t="s">
        <v>311</v>
      </c>
      <c r="D26" s="2"/>
      <c r="E26" s="2" t="s">
        <v>356</v>
      </c>
      <c r="F26" s="2" t="s">
        <v>357</v>
      </c>
      <c r="G26" s="2" t="s">
        <v>358</v>
      </c>
      <c r="H26" s="2" t="s">
        <v>26</v>
      </c>
      <c r="I26" s="2" t="s">
        <v>330</v>
      </c>
      <c r="J26" s="2" t="s">
        <v>260</v>
      </c>
      <c r="K26" s="2" t="s">
        <v>231</v>
      </c>
      <c r="L26" s="2"/>
    </row>
    <row r="27" customFormat="false" ht="15" hidden="false" customHeight="false" outlineLevel="0" collapsed="false">
      <c r="A27" s="2" t="s">
        <v>359</v>
      </c>
      <c r="B27" s="2" t="s">
        <v>256</v>
      </c>
      <c r="C27" s="2" t="s">
        <v>311</v>
      </c>
      <c r="D27" s="2"/>
      <c r="E27" s="2" t="s">
        <v>360</v>
      </c>
      <c r="F27" s="2" t="s">
        <v>357</v>
      </c>
      <c r="G27" s="2"/>
      <c r="H27" s="2" t="s">
        <v>26</v>
      </c>
      <c r="I27" s="2" t="s">
        <v>330</v>
      </c>
      <c r="J27" s="2" t="s">
        <v>260</v>
      </c>
      <c r="K27" s="2" t="s">
        <v>231</v>
      </c>
      <c r="L27" s="2"/>
    </row>
    <row r="28" customFormat="false" ht="23.85" hidden="false" customHeight="false" outlineLevel="0" collapsed="false">
      <c r="A28" s="2" t="s">
        <v>361</v>
      </c>
      <c r="B28" s="2" t="s">
        <v>362</v>
      </c>
      <c r="C28" s="2" t="s">
        <v>305</v>
      </c>
      <c r="D28" s="2" t="s">
        <v>363</v>
      </c>
      <c r="E28" s="2" t="s">
        <v>272</v>
      </c>
      <c r="F28" s="2" t="s">
        <v>364</v>
      </c>
      <c r="G28" s="2" t="s">
        <v>365</v>
      </c>
      <c r="H28" s="2" t="s">
        <v>35</v>
      </c>
      <c r="I28" s="2" t="s">
        <v>259</v>
      </c>
      <c r="J28" s="2" t="s">
        <v>366</v>
      </c>
      <c r="K28" s="2" t="s">
        <v>231</v>
      </c>
      <c r="L28" s="2" t="s">
        <v>367</v>
      </c>
    </row>
    <row r="29" customFormat="false" ht="23.85" hidden="false" customHeight="false" outlineLevel="0" collapsed="false">
      <c r="A29" s="2" t="s">
        <v>368</v>
      </c>
      <c r="B29" s="2" t="s">
        <v>362</v>
      </c>
      <c r="C29" s="2" t="s">
        <v>369</v>
      </c>
      <c r="D29" s="2" t="s">
        <v>267</v>
      </c>
      <c r="E29" s="2" t="s">
        <v>268</v>
      </c>
      <c r="F29" s="2" t="s">
        <v>370</v>
      </c>
      <c r="G29" s="2"/>
      <c r="H29" s="2" t="s">
        <v>35</v>
      </c>
      <c r="I29" s="2" t="s">
        <v>259</v>
      </c>
      <c r="J29" s="2" t="s">
        <v>366</v>
      </c>
      <c r="K29" s="2" t="s">
        <v>231</v>
      </c>
      <c r="L29" s="2" t="s">
        <v>371</v>
      </c>
    </row>
    <row r="30" customFormat="false" ht="23.85" hidden="false" customHeight="false" outlineLevel="0" collapsed="false">
      <c r="A30" s="2" t="s">
        <v>372</v>
      </c>
      <c r="B30" s="2" t="s">
        <v>362</v>
      </c>
      <c r="C30" s="2" t="s">
        <v>369</v>
      </c>
      <c r="D30" s="2" t="s">
        <v>373</v>
      </c>
      <c r="E30" s="2" t="s">
        <v>272</v>
      </c>
      <c r="F30" s="2" t="s">
        <v>374</v>
      </c>
      <c r="G30" s="2"/>
      <c r="H30" s="2" t="s">
        <v>35</v>
      </c>
      <c r="I30" s="2" t="s">
        <v>259</v>
      </c>
      <c r="J30" s="2" t="s">
        <v>366</v>
      </c>
      <c r="K30" s="2" t="s">
        <v>231</v>
      </c>
      <c r="L30" s="2" t="s">
        <v>375</v>
      </c>
    </row>
    <row r="31" customFormat="false" ht="23.85" hidden="false" customHeight="false" outlineLevel="0" collapsed="false">
      <c r="A31" s="2" t="s">
        <v>376</v>
      </c>
      <c r="B31" s="2" t="s">
        <v>362</v>
      </c>
      <c r="C31" s="2" t="s">
        <v>369</v>
      </c>
      <c r="D31" s="2" t="s">
        <v>377</v>
      </c>
      <c r="E31" s="2" t="s">
        <v>124</v>
      </c>
      <c r="F31" s="2" t="s">
        <v>378</v>
      </c>
      <c r="G31" s="2" t="s">
        <v>379</v>
      </c>
      <c r="H31" s="2" t="s">
        <v>35</v>
      </c>
      <c r="I31" s="2" t="s">
        <v>259</v>
      </c>
      <c r="J31" s="2" t="s">
        <v>366</v>
      </c>
      <c r="K31" s="2" t="s">
        <v>231</v>
      </c>
      <c r="L31" s="2"/>
    </row>
    <row r="32" customFormat="false" ht="46.25" hidden="false" customHeight="false" outlineLevel="0" collapsed="false">
      <c r="A32" s="2" t="s">
        <v>380</v>
      </c>
      <c r="B32" s="2" t="s">
        <v>362</v>
      </c>
      <c r="C32" s="2" t="s">
        <v>369</v>
      </c>
      <c r="D32" s="2" t="s">
        <v>119</v>
      </c>
      <c r="E32" s="2" t="s">
        <v>110</v>
      </c>
      <c r="F32" s="2" t="s">
        <v>381</v>
      </c>
      <c r="G32" s="2" t="s">
        <v>382</v>
      </c>
      <c r="H32" s="2" t="s">
        <v>35</v>
      </c>
      <c r="I32" s="2" t="s">
        <v>259</v>
      </c>
      <c r="J32" s="2" t="s">
        <v>383</v>
      </c>
      <c r="K32" s="2" t="s">
        <v>231</v>
      </c>
      <c r="L32" s="2" t="s">
        <v>384</v>
      </c>
    </row>
    <row r="33" customFormat="false" ht="35.05" hidden="false" customHeight="false" outlineLevel="0" collapsed="false">
      <c r="A33" s="2" t="s">
        <v>385</v>
      </c>
      <c r="B33" s="2" t="s">
        <v>362</v>
      </c>
      <c r="C33" s="2" t="s">
        <v>386</v>
      </c>
      <c r="D33" s="2" t="s">
        <v>109</v>
      </c>
      <c r="E33" s="2" t="s">
        <v>110</v>
      </c>
      <c r="F33" s="2" t="s">
        <v>387</v>
      </c>
      <c r="G33" s="2" t="s">
        <v>388</v>
      </c>
      <c r="H33" s="2" t="s">
        <v>35</v>
      </c>
      <c r="I33" s="2" t="s">
        <v>259</v>
      </c>
      <c r="J33" s="2" t="s">
        <v>389</v>
      </c>
      <c r="K33" s="2" t="s">
        <v>231</v>
      </c>
      <c r="L33" s="2" t="s">
        <v>390</v>
      </c>
    </row>
    <row r="34" customFormat="false" ht="35.05" hidden="false" customHeight="false" outlineLevel="0" collapsed="false">
      <c r="A34" s="2" t="s">
        <v>391</v>
      </c>
      <c r="B34" s="2" t="s">
        <v>362</v>
      </c>
      <c r="C34" s="2" t="s">
        <v>392</v>
      </c>
      <c r="D34" s="2" t="s">
        <v>119</v>
      </c>
      <c r="E34" s="2" t="s">
        <v>110</v>
      </c>
      <c r="F34" s="2" t="s">
        <v>393</v>
      </c>
      <c r="G34" s="2"/>
      <c r="H34" s="2" t="s">
        <v>35</v>
      </c>
      <c r="I34" s="2" t="s">
        <v>259</v>
      </c>
      <c r="J34" s="2" t="s">
        <v>389</v>
      </c>
      <c r="K34" s="2" t="s">
        <v>231</v>
      </c>
      <c r="L34" s="2" t="s">
        <v>394</v>
      </c>
    </row>
    <row r="35" customFormat="false" ht="35.05" hidden="false" customHeight="false" outlineLevel="0" collapsed="false">
      <c r="A35" s="2" t="s">
        <v>395</v>
      </c>
      <c r="B35" s="2" t="s">
        <v>362</v>
      </c>
      <c r="C35" s="2" t="s">
        <v>392</v>
      </c>
      <c r="D35" s="2" t="s">
        <v>396</v>
      </c>
      <c r="E35" s="2" t="s">
        <v>110</v>
      </c>
      <c r="F35" s="2" t="s">
        <v>393</v>
      </c>
      <c r="G35" s="2" t="s">
        <v>397</v>
      </c>
      <c r="H35" s="2" t="s">
        <v>35</v>
      </c>
      <c r="I35" s="2" t="s">
        <v>259</v>
      </c>
      <c r="J35" s="2" t="s">
        <v>389</v>
      </c>
      <c r="K35" s="2" t="s">
        <v>231</v>
      </c>
      <c r="L35" s="2" t="s">
        <v>398</v>
      </c>
    </row>
    <row r="36" customFormat="false" ht="23.85" hidden="false" customHeight="false" outlineLevel="0" collapsed="false">
      <c r="A36" s="2" t="s">
        <v>399</v>
      </c>
      <c r="B36" s="2" t="s">
        <v>362</v>
      </c>
      <c r="C36" s="2" t="s">
        <v>400</v>
      </c>
      <c r="D36" s="2" t="s">
        <v>401</v>
      </c>
      <c r="E36" s="2" t="s">
        <v>402</v>
      </c>
      <c r="F36" s="2" t="s">
        <v>353</v>
      </c>
      <c r="G36" s="2" t="s">
        <v>403</v>
      </c>
      <c r="H36" s="2" t="s">
        <v>35</v>
      </c>
      <c r="I36" s="2" t="s">
        <v>259</v>
      </c>
      <c r="J36" s="2" t="s">
        <v>366</v>
      </c>
      <c r="K36" s="2" t="s">
        <v>231</v>
      </c>
      <c r="L36" s="2" t="s">
        <v>404</v>
      </c>
    </row>
    <row r="37" customFormat="false" ht="23.85" hidden="false" customHeight="false" outlineLevel="0" collapsed="false">
      <c r="A37" s="2" t="s">
        <v>405</v>
      </c>
      <c r="B37" s="2" t="s">
        <v>362</v>
      </c>
      <c r="C37" s="2" t="s">
        <v>400</v>
      </c>
      <c r="D37" s="2" t="s">
        <v>406</v>
      </c>
      <c r="E37" s="2" t="s">
        <v>402</v>
      </c>
      <c r="F37" s="2" t="s">
        <v>353</v>
      </c>
      <c r="G37" s="2"/>
      <c r="H37" s="2" t="s">
        <v>35</v>
      </c>
      <c r="I37" s="2" t="s">
        <v>259</v>
      </c>
      <c r="J37" s="2" t="s">
        <v>366</v>
      </c>
      <c r="K37" s="2" t="s">
        <v>231</v>
      </c>
      <c r="L37" s="2" t="s">
        <v>407</v>
      </c>
    </row>
    <row r="38" customFormat="false" ht="23.85" hidden="false" customHeight="false" outlineLevel="0" collapsed="false">
      <c r="A38" s="2" t="s">
        <v>408</v>
      </c>
      <c r="B38" s="2" t="s">
        <v>362</v>
      </c>
      <c r="C38" s="2" t="s">
        <v>400</v>
      </c>
      <c r="D38" s="2" t="s">
        <v>409</v>
      </c>
      <c r="E38" s="2" t="s">
        <v>152</v>
      </c>
      <c r="F38" s="2" t="s">
        <v>410</v>
      </c>
      <c r="G38" s="2"/>
      <c r="H38" s="2" t="s">
        <v>35</v>
      </c>
      <c r="I38" s="2" t="s">
        <v>259</v>
      </c>
      <c r="J38" s="2" t="s">
        <v>366</v>
      </c>
      <c r="K38" s="2" t="s">
        <v>231</v>
      </c>
      <c r="L38" s="2" t="s">
        <v>411</v>
      </c>
    </row>
    <row r="39" customFormat="false" ht="23.85" hidden="false" customHeight="false" outlineLevel="0" collapsed="false">
      <c r="A39" s="2" t="s">
        <v>412</v>
      </c>
      <c r="B39" s="2" t="s">
        <v>362</v>
      </c>
      <c r="C39" s="2" t="s">
        <v>369</v>
      </c>
      <c r="D39" s="2" t="s">
        <v>413</v>
      </c>
      <c r="E39" s="2" t="s">
        <v>414</v>
      </c>
      <c r="F39" s="2" t="s">
        <v>353</v>
      </c>
      <c r="G39" s="2" t="s">
        <v>415</v>
      </c>
      <c r="H39" s="2" t="s">
        <v>35</v>
      </c>
      <c r="I39" s="2" t="s">
        <v>283</v>
      </c>
      <c r="J39" s="2" t="s">
        <v>366</v>
      </c>
      <c r="K39" s="2" t="s">
        <v>231</v>
      </c>
      <c r="L39" s="2" t="s">
        <v>416</v>
      </c>
    </row>
    <row r="40" customFormat="false" ht="23.85" hidden="false" customHeight="false" outlineLevel="0" collapsed="false">
      <c r="A40" s="2" t="s">
        <v>417</v>
      </c>
      <c r="B40" s="2" t="s">
        <v>362</v>
      </c>
      <c r="C40" s="2" t="s">
        <v>369</v>
      </c>
      <c r="D40" s="2"/>
      <c r="E40" s="2" t="s">
        <v>418</v>
      </c>
      <c r="F40" s="2" t="s">
        <v>419</v>
      </c>
      <c r="G40" s="2" t="s">
        <v>420</v>
      </c>
      <c r="H40" s="2" t="s">
        <v>35</v>
      </c>
      <c r="I40" s="2" t="s">
        <v>330</v>
      </c>
      <c r="J40" s="2" t="s">
        <v>366</v>
      </c>
      <c r="K40" s="2" t="s">
        <v>231</v>
      </c>
      <c r="L40" s="2"/>
    </row>
    <row r="41" customFormat="false" ht="23.85" hidden="false" customHeight="false" outlineLevel="0" collapsed="false">
      <c r="A41" s="2" t="s">
        <v>421</v>
      </c>
      <c r="B41" s="2" t="s">
        <v>362</v>
      </c>
      <c r="C41" s="2" t="s">
        <v>369</v>
      </c>
      <c r="D41" s="2"/>
      <c r="E41" s="2" t="s">
        <v>422</v>
      </c>
      <c r="F41" s="2" t="s">
        <v>423</v>
      </c>
      <c r="G41" s="2" t="s">
        <v>424</v>
      </c>
      <c r="H41" s="2" t="s">
        <v>35</v>
      </c>
      <c r="I41" s="2" t="s">
        <v>330</v>
      </c>
      <c r="J41" s="2" t="s">
        <v>366</v>
      </c>
      <c r="K41" s="2" t="s">
        <v>231</v>
      </c>
      <c r="L41" s="2"/>
    </row>
    <row r="42" customFormat="false" ht="23.85" hidden="false" customHeight="false" outlineLevel="0" collapsed="false">
      <c r="A42" s="2" t="s">
        <v>425</v>
      </c>
      <c r="B42" s="2" t="s">
        <v>362</v>
      </c>
      <c r="C42" s="2" t="s">
        <v>369</v>
      </c>
      <c r="D42" s="2"/>
      <c r="E42" s="2" t="s">
        <v>426</v>
      </c>
      <c r="F42" s="2" t="s">
        <v>427</v>
      </c>
      <c r="G42" s="2" t="s">
        <v>424</v>
      </c>
      <c r="H42" s="2" t="s">
        <v>35</v>
      </c>
      <c r="I42" s="2" t="s">
        <v>330</v>
      </c>
      <c r="J42" s="2" t="s">
        <v>366</v>
      </c>
      <c r="K42" s="2" t="s">
        <v>231</v>
      </c>
      <c r="L42" s="2"/>
    </row>
    <row r="43" customFormat="false" ht="23.85" hidden="false" customHeight="false" outlineLevel="0" collapsed="false">
      <c r="A43" s="2" t="s">
        <v>428</v>
      </c>
      <c r="B43" s="2" t="s">
        <v>362</v>
      </c>
      <c r="C43" s="2" t="s">
        <v>369</v>
      </c>
      <c r="D43" s="2"/>
      <c r="E43" s="2" t="s">
        <v>429</v>
      </c>
      <c r="F43" s="2" t="s">
        <v>273</v>
      </c>
      <c r="G43" s="2" t="s">
        <v>430</v>
      </c>
      <c r="H43" s="2" t="s">
        <v>35</v>
      </c>
      <c r="I43" s="2" t="s">
        <v>330</v>
      </c>
      <c r="J43" s="2" t="s">
        <v>366</v>
      </c>
      <c r="K43" s="2" t="s">
        <v>231</v>
      </c>
      <c r="L43" s="2"/>
    </row>
    <row r="44" customFormat="false" ht="23.85" hidden="false" customHeight="false" outlineLevel="0" collapsed="false">
      <c r="A44" s="2" t="s">
        <v>431</v>
      </c>
      <c r="B44" s="2" t="s">
        <v>362</v>
      </c>
      <c r="C44" s="2" t="s">
        <v>369</v>
      </c>
      <c r="D44" s="2"/>
      <c r="E44" s="2" t="s">
        <v>432</v>
      </c>
      <c r="F44" s="2" t="s">
        <v>433</v>
      </c>
      <c r="G44" s="2"/>
      <c r="H44" s="2" t="s">
        <v>35</v>
      </c>
      <c r="I44" s="2" t="s">
        <v>330</v>
      </c>
      <c r="J44" s="2" t="s">
        <v>366</v>
      </c>
      <c r="K44" s="2" t="s">
        <v>231</v>
      </c>
      <c r="L44" s="2"/>
    </row>
    <row r="45" customFormat="false" ht="23.85" hidden="false" customHeight="false" outlineLevel="0" collapsed="false">
      <c r="A45" s="2" t="s">
        <v>434</v>
      </c>
      <c r="B45" s="2" t="s">
        <v>362</v>
      </c>
      <c r="C45" s="2" t="s">
        <v>369</v>
      </c>
      <c r="D45" s="2"/>
      <c r="E45" s="2" t="s">
        <v>435</v>
      </c>
      <c r="F45" s="2" t="s">
        <v>340</v>
      </c>
      <c r="G45" s="2"/>
      <c r="H45" s="2" t="s">
        <v>35</v>
      </c>
      <c r="I45" s="2" t="s">
        <v>330</v>
      </c>
      <c r="J45" s="2" t="s">
        <v>366</v>
      </c>
      <c r="K45" s="2" t="s">
        <v>231</v>
      </c>
      <c r="L45" s="2"/>
    </row>
    <row r="46" customFormat="false" ht="23.85" hidden="false" customHeight="false" outlineLevel="0" collapsed="false">
      <c r="A46" s="2" t="s">
        <v>436</v>
      </c>
      <c r="B46" s="2" t="s">
        <v>362</v>
      </c>
      <c r="C46" s="2" t="s">
        <v>369</v>
      </c>
      <c r="D46" s="2"/>
      <c r="E46" s="2" t="s">
        <v>356</v>
      </c>
      <c r="F46" s="2" t="s">
        <v>437</v>
      </c>
      <c r="G46" s="2" t="s">
        <v>438</v>
      </c>
      <c r="H46" s="2" t="s">
        <v>35</v>
      </c>
      <c r="I46" s="2" t="s">
        <v>330</v>
      </c>
      <c r="J46" s="2" t="s">
        <v>366</v>
      </c>
      <c r="K46" s="2" t="s">
        <v>231</v>
      </c>
      <c r="L46" s="2"/>
    </row>
    <row r="47" customFormat="false" ht="23.85" hidden="false" customHeight="false" outlineLevel="0" collapsed="false">
      <c r="A47" s="2" t="s">
        <v>439</v>
      </c>
      <c r="B47" s="2" t="s">
        <v>362</v>
      </c>
      <c r="C47" s="2" t="s">
        <v>369</v>
      </c>
      <c r="D47" s="2"/>
      <c r="E47" s="2" t="s">
        <v>313</v>
      </c>
      <c r="F47" s="2" t="s">
        <v>440</v>
      </c>
      <c r="G47" s="2" t="s">
        <v>424</v>
      </c>
      <c r="H47" s="2" t="s">
        <v>35</v>
      </c>
      <c r="I47" s="2" t="s">
        <v>330</v>
      </c>
      <c r="J47" s="2" t="s">
        <v>366</v>
      </c>
      <c r="K47" s="2" t="s">
        <v>231</v>
      </c>
      <c r="L47" s="2"/>
    </row>
    <row r="48" customFormat="false" ht="23.85" hidden="false" customHeight="false" outlineLevel="0" collapsed="false">
      <c r="A48" s="2" t="s">
        <v>441</v>
      </c>
      <c r="B48" s="2" t="s">
        <v>362</v>
      </c>
      <c r="C48" s="2" t="s">
        <v>369</v>
      </c>
      <c r="D48" s="2"/>
      <c r="E48" s="2" t="s">
        <v>442</v>
      </c>
      <c r="F48" s="2" t="s">
        <v>357</v>
      </c>
      <c r="G48" s="2" t="s">
        <v>424</v>
      </c>
      <c r="H48" s="2" t="s">
        <v>35</v>
      </c>
      <c r="I48" s="2" t="s">
        <v>330</v>
      </c>
      <c r="J48" s="2" t="s">
        <v>366</v>
      </c>
      <c r="K48" s="2" t="s">
        <v>231</v>
      </c>
      <c r="L48" s="2"/>
    </row>
  </sheetData>
  <autoFilter ref="A1:L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6" min="5" style="0" width="40"/>
    <col collapsed="false" customWidth="true" hidden="false" outlineLevel="0" max="7" min="7" style="0" width="70"/>
  </cols>
  <sheetData>
    <row r="1" customFormat="false" ht="30" hidden="false" customHeight="true" outlineLevel="0" collapsed="false">
      <c r="A1" s="4" t="s">
        <v>98</v>
      </c>
      <c r="B1" s="4" t="s">
        <v>18</v>
      </c>
      <c r="C1" s="4" t="s">
        <v>443</v>
      </c>
      <c r="D1" s="4" t="s">
        <v>444</v>
      </c>
      <c r="E1" s="4" t="s">
        <v>445</v>
      </c>
      <c r="F1" s="4" t="s">
        <v>225</v>
      </c>
      <c r="G1" s="4" t="s">
        <v>25</v>
      </c>
    </row>
    <row r="2" customFormat="false" ht="23.85" hidden="false" customHeight="false" outlineLevel="0" collapsed="false">
      <c r="A2" s="5" t="s">
        <v>227</v>
      </c>
      <c r="B2" s="5" t="s">
        <v>32</v>
      </c>
      <c r="C2" s="5" t="s">
        <v>446</v>
      </c>
      <c r="D2" s="5" t="s">
        <v>41</v>
      </c>
      <c r="E2" s="5" t="s">
        <v>447</v>
      </c>
      <c r="F2" s="5"/>
      <c r="G2" s="5" t="s">
        <v>448</v>
      </c>
    </row>
  </sheetData>
  <autoFilter ref="A1:G2"/>
  <dataValidations count="1">
    <dataValidation allowBlank="true" errorStyle="stop" operator="between" showDropDown="false" showErrorMessage="false" showInputMessage="false" sqref="D2:D1002" type="list">
      <formula1>"Y,N,?"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40"/>
    <col collapsed="false" customWidth="true" hidden="false" outlineLevel="0" max="9" min="9" style="0" width="14"/>
    <col collapsed="false" customWidth="true" hidden="false" outlineLevel="0" max="10" min="10" style="0" width="70"/>
  </cols>
  <sheetData>
    <row r="1" customFormat="false" ht="30" hidden="false" customHeight="true" outlineLevel="0" collapsed="false">
      <c r="A1" s="4" t="s">
        <v>449</v>
      </c>
      <c r="B1" s="4" t="s">
        <v>450</v>
      </c>
      <c r="C1" s="4" t="s">
        <v>18</v>
      </c>
      <c r="D1" s="4" t="s">
        <v>451</v>
      </c>
      <c r="E1" s="4" t="s">
        <v>100</v>
      </c>
      <c r="F1" s="4" t="s">
        <v>251</v>
      </c>
      <c r="G1" s="4" t="s">
        <v>452</v>
      </c>
      <c r="H1" s="4" t="s">
        <v>225</v>
      </c>
      <c r="I1" s="4" t="s">
        <v>226</v>
      </c>
      <c r="J1" s="4" t="s">
        <v>25</v>
      </c>
    </row>
    <row r="2" customFormat="false" ht="23.85" hidden="false" customHeight="false" outlineLevel="0" collapsed="false">
      <c r="A2" s="5" t="s">
        <v>227</v>
      </c>
      <c r="B2" s="5" t="s">
        <v>447</v>
      </c>
      <c r="C2" s="5" t="s">
        <v>32</v>
      </c>
      <c r="D2" s="5" t="s">
        <v>108</v>
      </c>
      <c r="E2" s="5" t="s">
        <v>110</v>
      </c>
      <c r="F2" s="5" t="s">
        <v>453</v>
      </c>
      <c r="G2" s="5" t="s">
        <v>41</v>
      </c>
      <c r="H2" s="5" t="s">
        <v>454</v>
      </c>
      <c r="I2" s="5" t="s">
        <v>231</v>
      </c>
      <c r="J2" s="5" t="s">
        <v>455</v>
      </c>
    </row>
  </sheetData>
  <autoFilter ref="A1:J2"/>
  <dataValidations count="1">
    <dataValidation allowBlank="true" errorStyle="stop" operator="between" showDropDown="false" showErrorMessage="false" showInputMessage="false" sqref="G2:G1002" type="list">
      <formula1>"Y,N,?"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6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30" hidden="false" customHeight="true" outlineLevel="0" collapsed="false">
      <c r="A1" s="4" t="s">
        <v>456</v>
      </c>
      <c r="B1" s="4" t="s">
        <v>18</v>
      </c>
      <c r="C1" s="4" t="s">
        <v>457</v>
      </c>
      <c r="D1" s="4" t="s">
        <v>458</v>
      </c>
      <c r="E1" s="4" t="s">
        <v>459</v>
      </c>
      <c r="F1" s="4" t="s">
        <v>460</v>
      </c>
      <c r="G1" s="4" t="s">
        <v>461</v>
      </c>
      <c r="H1" s="4" t="s">
        <v>462</v>
      </c>
      <c r="I1" s="4" t="s">
        <v>463</v>
      </c>
      <c r="J1" s="4" t="s">
        <v>226</v>
      </c>
    </row>
    <row r="2" customFormat="false" ht="15" hidden="false" customHeight="false" outlineLevel="0" collapsed="false">
      <c r="A2" s="2" t="s">
        <v>464</v>
      </c>
      <c r="B2" s="2" t="s">
        <v>26</v>
      </c>
      <c r="C2" s="2" t="s">
        <v>465</v>
      </c>
      <c r="D2" s="2" t="s">
        <v>466</v>
      </c>
      <c r="E2" s="2"/>
      <c r="F2" s="2" t="s">
        <v>467</v>
      </c>
      <c r="G2" s="2"/>
      <c r="H2" s="2"/>
      <c r="I2" s="2"/>
      <c r="J2" s="2"/>
    </row>
    <row r="3" customFormat="false" ht="15" hidden="false" customHeight="false" outlineLevel="0" collapsed="false">
      <c r="A3" s="2" t="s">
        <v>468</v>
      </c>
      <c r="B3" s="2" t="s">
        <v>26</v>
      </c>
      <c r="C3" s="2" t="s">
        <v>469</v>
      </c>
      <c r="D3" s="2" t="s">
        <v>466</v>
      </c>
      <c r="E3" s="2"/>
      <c r="F3" s="2" t="s">
        <v>467</v>
      </c>
      <c r="G3" s="2"/>
      <c r="H3" s="2"/>
      <c r="I3" s="2"/>
      <c r="J3" s="2"/>
    </row>
    <row r="4" customFormat="false" ht="15" hidden="false" customHeight="false" outlineLevel="0" collapsed="false">
      <c r="A4" s="2" t="s">
        <v>470</v>
      </c>
      <c r="B4" s="2" t="s">
        <v>26</v>
      </c>
      <c r="C4" s="2" t="s">
        <v>471</v>
      </c>
      <c r="D4" s="2" t="s">
        <v>466</v>
      </c>
      <c r="E4" s="2"/>
      <c r="F4" s="2" t="s">
        <v>467</v>
      </c>
      <c r="G4" s="2"/>
      <c r="H4" s="2"/>
      <c r="I4" s="2"/>
      <c r="J4" s="2"/>
    </row>
    <row r="5" customFormat="false" ht="15" hidden="false" customHeight="false" outlineLevel="0" collapsed="false">
      <c r="A5" s="2" t="s">
        <v>472</v>
      </c>
      <c r="B5" s="2" t="s">
        <v>26</v>
      </c>
      <c r="C5" s="2" t="s">
        <v>473</v>
      </c>
      <c r="D5" s="2" t="s">
        <v>466</v>
      </c>
      <c r="E5" s="2"/>
      <c r="F5" s="2" t="s">
        <v>467</v>
      </c>
      <c r="G5" s="2"/>
      <c r="H5" s="2"/>
      <c r="I5" s="2"/>
      <c r="J5" s="2"/>
    </row>
    <row r="6" customFormat="false" ht="15" hidden="false" customHeight="false" outlineLevel="0" collapsed="false">
      <c r="A6" s="2" t="s">
        <v>474</v>
      </c>
      <c r="B6" s="2" t="s">
        <v>26</v>
      </c>
      <c r="C6" s="2" t="s">
        <v>465</v>
      </c>
      <c r="D6" s="2" t="s">
        <v>475</v>
      </c>
      <c r="E6" s="2"/>
      <c r="F6" s="2" t="s">
        <v>467</v>
      </c>
      <c r="G6" s="2"/>
      <c r="H6" s="2"/>
      <c r="I6" s="2"/>
      <c r="J6" s="2"/>
    </row>
    <row r="7" customFormat="false" ht="15" hidden="false" customHeight="false" outlineLevel="0" collapsed="false">
      <c r="A7" s="2" t="s">
        <v>476</v>
      </c>
      <c r="B7" s="2" t="s">
        <v>26</v>
      </c>
      <c r="C7" s="2" t="s">
        <v>465</v>
      </c>
      <c r="D7" s="2" t="s">
        <v>477</v>
      </c>
      <c r="E7" s="2"/>
      <c r="F7" s="2" t="s">
        <v>467</v>
      </c>
      <c r="G7" s="2"/>
      <c r="H7" s="2"/>
      <c r="I7" s="2"/>
      <c r="J7" s="2"/>
    </row>
    <row r="8" customFormat="false" ht="15" hidden="false" customHeight="false" outlineLevel="0" collapsed="false">
      <c r="A8" s="2" t="s">
        <v>478</v>
      </c>
      <c r="B8" s="2" t="s">
        <v>32</v>
      </c>
      <c r="C8" s="2" t="s">
        <v>465</v>
      </c>
      <c r="D8" s="2" t="s">
        <v>479</v>
      </c>
      <c r="E8" s="2" t="s">
        <v>480</v>
      </c>
      <c r="F8" s="2" t="s">
        <v>467</v>
      </c>
      <c r="G8" s="2"/>
      <c r="H8" s="2"/>
      <c r="I8" s="2"/>
      <c r="J8" s="2"/>
    </row>
    <row r="9" customFormat="false" ht="15" hidden="false" customHeight="false" outlineLevel="0" collapsed="false">
      <c r="A9" s="2" t="s">
        <v>481</v>
      </c>
      <c r="B9" s="2" t="s">
        <v>32</v>
      </c>
      <c r="C9" s="2" t="s">
        <v>469</v>
      </c>
      <c r="D9" s="2" t="s">
        <v>482</v>
      </c>
      <c r="E9" s="2" t="s">
        <v>480</v>
      </c>
      <c r="F9" s="2" t="s">
        <v>467</v>
      </c>
      <c r="G9" s="2"/>
      <c r="H9" s="2"/>
      <c r="I9" s="2"/>
      <c r="J9" s="2"/>
    </row>
    <row r="10" customFormat="false" ht="15" hidden="false" customHeight="false" outlineLevel="0" collapsed="false">
      <c r="A10" s="2" t="s">
        <v>483</v>
      </c>
      <c r="B10" s="2" t="s">
        <v>32</v>
      </c>
      <c r="C10" s="2" t="s">
        <v>471</v>
      </c>
      <c r="D10" s="2" t="s">
        <v>484</v>
      </c>
      <c r="E10" s="2" t="s">
        <v>480</v>
      </c>
      <c r="F10" s="2" t="s">
        <v>467</v>
      </c>
      <c r="G10" s="2"/>
      <c r="H10" s="2"/>
      <c r="I10" s="2"/>
      <c r="J10" s="2"/>
    </row>
    <row r="11" customFormat="false" ht="15" hidden="false" customHeight="false" outlineLevel="0" collapsed="false">
      <c r="A11" s="2" t="s">
        <v>485</v>
      </c>
      <c r="B11" s="2" t="s">
        <v>32</v>
      </c>
      <c r="C11" s="2" t="s">
        <v>473</v>
      </c>
      <c r="D11" s="2" t="s">
        <v>486</v>
      </c>
      <c r="E11" s="2" t="s">
        <v>480</v>
      </c>
      <c r="F11" s="2" t="s">
        <v>467</v>
      </c>
      <c r="G11" s="2"/>
      <c r="H11" s="2"/>
      <c r="I11" s="2"/>
      <c r="J11" s="2"/>
    </row>
    <row r="12" customFormat="false" ht="15" hidden="false" customHeight="false" outlineLevel="0" collapsed="false">
      <c r="A12" s="2" t="s">
        <v>487</v>
      </c>
      <c r="B12" s="2" t="s">
        <v>48</v>
      </c>
      <c r="C12" s="2" t="s">
        <v>465</v>
      </c>
      <c r="D12" s="2" t="s">
        <v>488</v>
      </c>
      <c r="E12" s="2" t="s">
        <v>489</v>
      </c>
      <c r="F12" s="2" t="s">
        <v>467</v>
      </c>
      <c r="G12" s="2"/>
      <c r="H12" s="2"/>
      <c r="I12" s="2"/>
      <c r="J12" s="2"/>
    </row>
    <row r="13" customFormat="false" ht="15" hidden="false" customHeight="false" outlineLevel="0" collapsed="false">
      <c r="A13" s="2" t="s">
        <v>490</v>
      </c>
      <c r="B13" s="2" t="s">
        <v>48</v>
      </c>
      <c r="C13" s="2" t="s">
        <v>469</v>
      </c>
      <c r="D13" s="2" t="s">
        <v>491</v>
      </c>
      <c r="E13" s="2" t="s">
        <v>489</v>
      </c>
      <c r="F13" s="2" t="s">
        <v>467</v>
      </c>
      <c r="G13" s="2"/>
      <c r="H13" s="2"/>
      <c r="I13" s="2"/>
      <c r="J13" s="2"/>
    </row>
    <row r="14" customFormat="false" ht="15" hidden="false" customHeight="false" outlineLevel="0" collapsed="false">
      <c r="A14" s="2" t="s">
        <v>492</v>
      </c>
      <c r="B14" s="2" t="s">
        <v>48</v>
      </c>
      <c r="C14" s="2" t="s">
        <v>471</v>
      </c>
      <c r="D14" s="2" t="s">
        <v>493</v>
      </c>
      <c r="E14" s="2" t="s">
        <v>489</v>
      </c>
      <c r="F14" s="2" t="s">
        <v>467</v>
      </c>
      <c r="G14" s="2"/>
      <c r="H14" s="2"/>
      <c r="I14" s="2"/>
      <c r="J14" s="2"/>
    </row>
    <row r="15" customFormat="false" ht="15" hidden="false" customHeight="false" outlineLevel="0" collapsed="false">
      <c r="A15" s="2" t="s">
        <v>494</v>
      </c>
      <c r="B15" s="2" t="s">
        <v>48</v>
      </c>
      <c r="C15" s="2" t="s">
        <v>473</v>
      </c>
      <c r="D15" s="2" t="s">
        <v>495</v>
      </c>
      <c r="E15" s="2" t="s">
        <v>489</v>
      </c>
      <c r="F15" s="2" t="s">
        <v>467</v>
      </c>
      <c r="G15" s="2"/>
      <c r="H15" s="2"/>
      <c r="I15" s="2"/>
      <c r="J15" s="2"/>
    </row>
    <row r="16" customFormat="false" ht="15" hidden="false" customHeight="false" outlineLevel="0" collapsed="false">
      <c r="A16" s="2" t="s">
        <v>496</v>
      </c>
      <c r="B16" s="2" t="s">
        <v>62</v>
      </c>
      <c r="C16" s="2" t="s">
        <v>465</v>
      </c>
      <c r="D16" s="2" t="s">
        <v>497</v>
      </c>
      <c r="E16" s="2"/>
      <c r="F16" s="2" t="s">
        <v>467</v>
      </c>
      <c r="G16" s="2"/>
      <c r="H16" s="2"/>
      <c r="I16" s="2"/>
      <c r="J16" s="2"/>
    </row>
    <row r="17" customFormat="false" ht="15" hidden="false" customHeight="false" outlineLevel="0" collapsed="false">
      <c r="A17" s="2" t="s">
        <v>498</v>
      </c>
      <c r="B17" s="2" t="s">
        <v>62</v>
      </c>
      <c r="C17" s="2" t="s">
        <v>469</v>
      </c>
      <c r="D17" s="2" t="s">
        <v>499</v>
      </c>
      <c r="E17" s="2"/>
      <c r="F17" s="2" t="s">
        <v>467</v>
      </c>
      <c r="G17" s="2"/>
      <c r="H17" s="2"/>
      <c r="I17" s="2"/>
      <c r="J17" s="2"/>
    </row>
    <row r="18" customFormat="false" ht="15" hidden="false" customHeight="false" outlineLevel="0" collapsed="false">
      <c r="A18" s="2" t="s">
        <v>500</v>
      </c>
      <c r="B18" s="2" t="s">
        <v>62</v>
      </c>
      <c r="C18" s="2" t="s">
        <v>471</v>
      </c>
      <c r="D18" s="2" t="s">
        <v>501</v>
      </c>
      <c r="E18" s="2"/>
      <c r="F18" s="2" t="s">
        <v>467</v>
      </c>
      <c r="G18" s="2"/>
      <c r="H18" s="2"/>
      <c r="I18" s="2"/>
      <c r="J18" s="2"/>
    </row>
    <row r="19" customFormat="false" ht="15" hidden="false" customHeight="false" outlineLevel="0" collapsed="false">
      <c r="A19" s="2" t="s">
        <v>502</v>
      </c>
      <c r="B19" s="2" t="s">
        <v>62</v>
      </c>
      <c r="C19" s="2" t="s">
        <v>473</v>
      </c>
      <c r="D19" s="2" t="s">
        <v>503</v>
      </c>
      <c r="E19" s="2"/>
      <c r="F19" s="2" t="s">
        <v>467</v>
      </c>
      <c r="G19" s="2"/>
      <c r="H19" s="2"/>
      <c r="I19" s="2"/>
      <c r="J19" s="2"/>
    </row>
    <row r="20" customFormat="false" ht="15" hidden="false" customHeight="false" outlineLevel="0" collapsed="false">
      <c r="A20" s="2" t="s">
        <v>504</v>
      </c>
      <c r="B20" s="2" t="s">
        <v>78</v>
      </c>
      <c r="C20" s="2" t="s">
        <v>465</v>
      </c>
      <c r="D20" s="2" t="s">
        <v>505</v>
      </c>
      <c r="E20" s="2" t="s">
        <v>506</v>
      </c>
      <c r="F20" s="2" t="s">
        <v>467</v>
      </c>
      <c r="G20" s="2"/>
      <c r="H20" s="2"/>
      <c r="I20" s="2"/>
      <c r="J20" s="2"/>
    </row>
    <row r="21" customFormat="false" ht="15" hidden="false" customHeight="false" outlineLevel="0" collapsed="false">
      <c r="A21" s="2" t="s">
        <v>507</v>
      </c>
      <c r="B21" s="2" t="s">
        <v>78</v>
      </c>
      <c r="C21" s="2" t="s">
        <v>465</v>
      </c>
      <c r="D21" s="2" t="s">
        <v>508</v>
      </c>
      <c r="E21" s="2" t="s">
        <v>506</v>
      </c>
      <c r="F21" s="2" t="s">
        <v>467</v>
      </c>
      <c r="G21" s="2"/>
      <c r="H21" s="2"/>
      <c r="I21" s="2"/>
      <c r="J21" s="2"/>
    </row>
  </sheetData>
  <autoFilter ref="A1:J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7" min="3" style="0" width="22"/>
  </cols>
  <sheetData>
    <row r="1" customFormat="false" ht="17.35" hidden="false" customHeight="false" outlineLevel="0" collapsed="false">
      <c r="A1" s="6" t="s">
        <v>509</v>
      </c>
    </row>
    <row r="2" customFormat="false" ht="15" hidden="false" customHeight="false" outlineLevel="0" collapsed="false">
      <c r="A2" s="7" t="s">
        <v>510</v>
      </c>
    </row>
    <row r="4" customFormat="false" ht="15" hidden="false" customHeight="false" outlineLevel="0" collapsed="false">
      <c r="A4" s="8" t="s">
        <v>511</v>
      </c>
    </row>
    <row r="5" customFormat="false" ht="15" hidden="false" customHeight="false" outlineLevel="0" collapsed="false">
      <c r="A5" s="9" t="s">
        <v>98</v>
      </c>
      <c r="B5" s="9" t="s">
        <v>99</v>
      </c>
      <c r="C5" s="9" t="s">
        <v>26</v>
      </c>
      <c r="D5" s="9" t="s">
        <v>32</v>
      </c>
      <c r="E5" s="9" t="s">
        <v>48</v>
      </c>
      <c r="F5" s="9" t="s">
        <v>62</v>
      </c>
      <c r="G5" s="9" t="s">
        <v>78</v>
      </c>
    </row>
    <row r="6" customFormat="false" ht="15" hidden="false" customHeight="false" outlineLevel="0" collapsed="false">
      <c r="A6" s="10" t="str">
        <f aca="false">Cities!A2</f>
        <v>SBG</v>
      </c>
      <c r="B6" s="10" t="str">
        <f aca="false">Cities!B2</f>
        <v>Salzburg</v>
      </c>
      <c r="C6" s="11" t="str">
        <f aca="false">IFERROR(AVERAGEIFS(Signals!$G:$G,Signals!$B:$B,$A6,Signals!$C:$C,C$5),"")</f>
        <v/>
      </c>
      <c r="D6" s="11" t="str">
        <f aca="false">IFERROR(AVERAGEIFS(Signals!$G:$G,Signals!$B:$B,$A6,Signals!$C:$C,D$5),"")</f>
        <v/>
      </c>
      <c r="E6" s="11" t="str">
        <f aca="false">IFERROR(AVERAGEIFS(Signals!$G:$G,Signals!$B:$B,$A6,Signals!$C:$C,E$5),"")</f>
        <v/>
      </c>
      <c r="F6" s="11" t="str">
        <f aca="false">IFERROR(AVERAGEIFS(Signals!$G:$G,Signals!$B:$B,$A6,Signals!$C:$C,F$5),"")</f>
        <v/>
      </c>
      <c r="G6" s="11" t="str">
        <f aca="false">IFERROR(AVERAGEIFS(Signals!$G:$G,Signals!$B:$B,$A6,Signals!$C:$C,G$5),"")</f>
        <v/>
      </c>
    </row>
    <row r="7" customFormat="false" ht="15" hidden="false" customHeight="false" outlineLevel="0" collapsed="false">
      <c r="A7" s="10" t="str">
        <f aca="false">Cities!A3</f>
        <v>INN</v>
      </c>
      <c r="B7" s="10" t="str">
        <f aca="false">Cities!B3</f>
        <v>Innsbruck</v>
      </c>
      <c r="C7" s="11" t="str">
        <f aca="false">IFERROR(AVERAGEIFS(Signals!$G:$G,Signals!$B:$B,$A7,Signals!$C:$C,C$5),"")</f>
        <v/>
      </c>
      <c r="D7" s="11" t="str">
        <f aca="false">IFERROR(AVERAGEIFS(Signals!$G:$G,Signals!$B:$B,$A7,Signals!$C:$C,D$5),"")</f>
        <v/>
      </c>
      <c r="E7" s="11" t="str">
        <f aca="false">IFERROR(AVERAGEIFS(Signals!$G:$G,Signals!$B:$B,$A7,Signals!$C:$C,E$5),"")</f>
        <v/>
      </c>
      <c r="F7" s="11" t="str">
        <f aca="false">IFERROR(AVERAGEIFS(Signals!$G:$G,Signals!$B:$B,$A7,Signals!$C:$C,F$5),"")</f>
        <v/>
      </c>
      <c r="G7" s="11" t="str">
        <f aca="false">IFERROR(AVERAGEIFS(Signals!$G:$G,Signals!$B:$B,$A7,Signals!$C:$C,G$5),"")</f>
        <v/>
      </c>
    </row>
    <row r="8" customFormat="false" ht="15" hidden="false" customHeight="false" outlineLevel="0" collapsed="false">
      <c r="A8" s="10" t="str">
        <f aca="false">Cities!A4</f>
        <v>VIE</v>
      </c>
      <c r="B8" s="10" t="str">
        <f aca="false">Cities!B4</f>
        <v>Vienna</v>
      </c>
      <c r="C8" s="11" t="str">
        <f aca="false">IFERROR(AVERAGEIFS(Signals!$G:$G,Signals!$B:$B,$A8,Signals!$C:$C,C$5),"")</f>
        <v/>
      </c>
      <c r="D8" s="11" t="str">
        <f aca="false">IFERROR(AVERAGEIFS(Signals!$G:$G,Signals!$B:$B,$A8,Signals!$C:$C,D$5),"")</f>
        <v/>
      </c>
      <c r="E8" s="11" t="str">
        <f aca="false">IFERROR(AVERAGEIFS(Signals!$G:$G,Signals!$B:$B,$A8,Signals!$C:$C,E$5),"")</f>
        <v/>
      </c>
      <c r="F8" s="11" t="str">
        <f aca="false">IFERROR(AVERAGEIFS(Signals!$G:$G,Signals!$B:$B,$A8,Signals!$C:$C,F$5),"")</f>
        <v/>
      </c>
      <c r="G8" s="11" t="str">
        <f aca="false">IFERROR(AVERAGEIFS(Signals!$G:$G,Signals!$B:$B,$A8,Signals!$C:$C,G$5),"")</f>
        <v/>
      </c>
    </row>
    <row r="9" customFormat="false" ht="15" hidden="false" customHeight="false" outlineLevel="0" collapsed="false">
      <c r="A9" s="10" t="str">
        <f aca="false">Cities!A5</f>
        <v>MUC</v>
      </c>
      <c r="B9" s="10" t="str">
        <f aca="false">Cities!B5</f>
        <v>Munich</v>
      </c>
      <c r="C9" s="11" t="str">
        <f aca="false">IFERROR(AVERAGEIFS(Signals!$G:$G,Signals!$B:$B,$A9,Signals!$C:$C,C$5),"")</f>
        <v/>
      </c>
      <c r="D9" s="11" t="str">
        <f aca="false">IFERROR(AVERAGEIFS(Signals!$G:$G,Signals!$B:$B,$A9,Signals!$C:$C,D$5),"")</f>
        <v/>
      </c>
      <c r="E9" s="11" t="str">
        <f aca="false">IFERROR(AVERAGEIFS(Signals!$G:$G,Signals!$B:$B,$A9,Signals!$C:$C,E$5),"")</f>
        <v/>
      </c>
      <c r="F9" s="11" t="str">
        <f aca="false">IFERROR(AVERAGEIFS(Signals!$G:$G,Signals!$B:$B,$A9,Signals!$C:$C,F$5),"")</f>
        <v/>
      </c>
      <c r="G9" s="11" t="str">
        <f aca="false">IFERROR(AVERAGEIFS(Signals!$G:$G,Signals!$B:$B,$A9,Signals!$C:$C,G$5),"")</f>
        <v/>
      </c>
    </row>
    <row r="10" customFormat="false" ht="15" hidden="false" customHeight="false" outlineLevel="0" collapsed="false">
      <c r="A10" s="10" t="str">
        <f aca="false">Cities!A6</f>
        <v>MIL</v>
      </c>
      <c r="B10" s="10" t="str">
        <f aca="false">Cities!B6</f>
        <v>Milan</v>
      </c>
      <c r="C10" s="11" t="str">
        <f aca="false">IFERROR(AVERAGEIFS(Signals!$G:$G,Signals!$B:$B,$A10,Signals!$C:$C,C$5),"")</f>
        <v/>
      </c>
      <c r="D10" s="11" t="str">
        <f aca="false">IFERROR(AVERAGEIFS(Signals!$G:$G,Signals!$B:$B,$A10,Signals!$C:$C,D$5),"")</f>
        <v/>
      </c>
      <c r="E10" s="11" t="str">
        <f aca="false">IFERROR(AVERAGEIFS(Signals!$G:$G,Signals!$B:$B,$A10,Signals!$C:$C,E$5),"")</f>
        <v/>
      </c>
      <c r="F10" s="11" t="str">
        <f aca="false">IFERROR(AVERAGEIFS(Signals!$G:$G,Signals!$B:$B,$A10,Signals!$C:$C,F$5),"")</f>
        <v/>
      </c>
      <c r="G10" s="11" t="str">
        <f aca="false">IFERROR(AVERAGEIFS(Signals!$G:$G,Signals!$B:$B,$A10,Signals!$C:$C,G$5),"")</f>
        <v/>
      </c>
    </row>
    <row r="11" customFormat="false" ht="15" hidden="false" customHeight="false" outlineLevel="0" collapsed="false">
      <c r="A11" s="10" t="str">
        <f aca="false">Cities!A7</f>
        <v>BCN</v>
      </c>
      <c r="B11" s="10" t="str">
        <f aca="false">Cities!B7</f>
        <v>Barcelona</v>
      </c>
      <c r="C11" s="11" t="str">
        <f aca="false">IFERROR(AVERAGEIFS(Signals!$G:$G,Signals!$B:$B,$A11,Signals!$C:$C,C$5),"")</f>
        <v/>
      </c>
      <c r="D11" s="11" t="str">
        <f aca="false">IFERROR(AVERAGEIFS(Signals!$G:$G,Signals!$B:$B,$A11,Signals!$C:$C,D$5),"")</f>
        <v/>
      </c>
      <c r="E11" s="11" t="str">
        <f aca="false">IFERROR(AVERAGEIFS(Signals!$G:$G,Signals!$B:$B,$A11,Signals!$C:$C,E$5),"")</f>
        <v/>
      </c>
      <c r="F11" s="11" t="str">
        <f aca="false">IFERROR(AVERAGEIFS(Signals!$G:$G,Signals!$B:$B,$A11,Signals!$C:$C,F$5),"")</f>
        <v/>
      </c>
      <c r="G11" s="11" t="str">
        <f aca="false">IFERROR(AVERAGEIFS(Signals!$G:$G,Signals!$B:$B,$A11,Signals!$C:$C,G$5),"")</f>
        <v/>
      </c>
    </row>
    <row r="12" customFormat="false" ht="15" hidden="false" customHeight="false" outlineLevel="0" collapsed="false">
      <c r="A12" s="10" t="str">
        <f aca="false">Cities!A8</f>
        <v>AMS</v>
      </c>
      <c r="B12" s="10" t="str">
        <f aca="false">Cities!B8</f>
        <v>Amsterdam</v>
      </c>
      <c r="C12" s="11" t="str">
        <f aca="false">IFERROR(AVERAGEIFS(Signals!$G:$G,Signals!$B:$B,$A12,Signals!$C:$C,C$5),"")</f>
        <v/>
      </c>
      <c r="D12" s="11" t="str">
        <f aca="false">IFERROR(AVERAGEIFS(Signals!$G:$G,Signals!$B:$B,$A12,Signals!$C:$C,D$5),"")</f>
        <v/>
      </c>
      <c r="E12" s="11" t="str">
        <f aca="false">IFERROR(AVERAGEIFS(Signals!$G:$G,Signals!$B:$B,$A12,Signals!$C:$C,E$5),"")</f>
        <v/>
      </c>
      <c r="F12" s="11" t="str">
        <f aca="false">IFERROR(AVERAGEIFS(Signals!$G:$G,Signals!$B:$B,$A12,Signals!$C:$C,F$5),"")</f>
        <v/>
      </c>
      <c r="G12" s="11" t="str">
        <f aca="false">IFERROR(AVERAGEIFS(Signals!$G:$G,Signals!$B:$B,$A12,Signals!$C:$C,G$5),"")</f>
        <v/>
      </c>
    </row>
    <row r="13" customFormat="false" ht="15" hidden="false" customHeight="false" outlineLevel="0" collapsed="false">
      <c r="A13" s="10" t="str">
        <f aca="false">Cities!A9</f>
        <v>BER</v>
      </c>
      <c r="B13" s="10" t="str">
        <f aca="false">Cities!B9</f>
        <v>Berlin</v>
      </c>
      <c r="C13" s="11" t="str">
        <f aca="false">IFERROR(AVERAGEIFS(Signals!$G:$G,Signals!$B:$B,$A13,Signals!$C:$C,C$5),"")</f>
        <v/>
      </c>
      <c r="D13" s="11" t="str">
        <f aca="false">IFERROR(AVERAGEIFS(Signals!$G:$G,Signals!$B:$B,$A13,Signals!$C:$C,D$5),"")</f>
        <v/>
      </c>
      <c r="E13" s="11" t="str">
        <f aca="false">IFERROR(AVERAGEIFS(Signals!$G:$G,Signals!$B:$B,$A13,Signals!$C:$C,E$5),"")</f>
        <v/>
      </c>
      <c r="F13" s="11" t="str">
        <f aca="false">IFERROR(AVERAGEIFS(Signals!$G:$G,Signals!$B:$B,$A13,Signals!$C:$C,F$5),"")</f>
        <v/>
      </c>
      <c r="G13" s="11" t="str">
        <f aca="false">IFERROR(AVERAGEIFS(Signals!$G:$G,Signals!$B:$B,$A13,Signals!$C:$C,G$5),"")</f>
        <v/>
      </c>
    </row>
    <row r="14" customFormat="false" ht="15" hidden="false" customHeight="false" outlineLevel="0" collapsed="false">
      <c r="A14" s="10" t="str">
        <f aca="false">Cities!A10</f>
        <v>GRZ</v>
      </c>
      <c r="B14" s="10" t="str">
        <f aca="false">Cities!B10</f>
        <v>Graz</v>
      </c>
      <c r="C14" s="11" t="str">
        <f aca="false">IFERROR(AVERAGEIFS(Signals!$G:$G,Signals!$B:$B,$A14,Signals!$C:$C,C$5),"")</f>
        <v/>
      </c>
      <c r="D14" s="11" t="str">
        <f aca="false">IFERROR(AVERAGEIFS(Signals!$G:$G,Signals!$B:$B,$A14,Signals!$C:$C,D$5),"")</f>
        <v/>
      </c>
      <c r="E14" s="11" t="str">
        <f aca="false">IFERROR(AVERAGEIFS(Signals!$G:$G,Signals!$B:$B,$A14,Signals!$C:$C,E$5),"")</f>
        <v/>
      </c>
      <c r="F14" s="11" t="str">
        <f aca="false">IFERROR(AVERAGEIFS(Signals!$G:$G,Signals!$B:$B,$A14,Signals!$C:$C,F$5),"")</f>
        <v/>
      </c>
      <c r="G14" s="11" t="str">
        <f aca="false">IFERROR(AVERAGEIFS(Signals!$G:$G,Signals!$B:$B,$A14,Signals!$C:$C,G$5),"")</f>
        <v/>
      </c>
    </row>
    <row r="15" customFormat="false" ht="15" hidden="false" customHeight="false" outlineLevel="0" collapsed="false">
      <c r="A15" s="10" t="str">
        <f aca="false">Cities!A11</f>
        <v>MAD</v>
      </c>
      <c r="B15" s="10" t="str">
        <f aca="false">Cities!B11</f>
        <v>Madrid</v>
      </c>
      <c r="C15" s="11" t="str">
        <f aca="false">IFERROR(AVERAGEIFS(Signals!$G:$G,Signals!$B:$B,$A15,Signals!$C:$C,C$5),"")</f>
        <v/>
      </c>
      <c r="D15" s="11" t="str">
        <f aca="false">IFERROR(AVERAGEIFS(Signals!$G:$G,Signals!$B:$B,$A15,Signals!$C:$C,D$5),"")</f>
        <v/>
      </c>
      <c r="E15" s="11" t="str">
        <f aca="false">IFERROR(AVERAGEIFS(Signals!$G:$G,Signals!$B:$B,$A15,Signals!$C:$C,E$5),"")</f>
        <v/>
      </c>
      <c r="F15" s="11" t="str">
        <f aca="false">IFERROR(AVERAGEIFS(Signals!$G:$G,Signals!$B:$B,$A15,Signals!$C:$C,F$5),"")</f>
        <v/>
      </c>
      <c r="G15" s="11" t="str">
        <f aca="false">IFERROR(AVERAGEIFS(Signals!$G:$G,Signals!$B:$B,$A15,Signals!$C:$C,G$5),"")</f>
        <v/>
      </c>
    </row>
    <row r="16" customFormat="false" ht="15" hidden="false" customHeight="false" outlineLevel="0" collapsed="false">
      <c r="A16" s="10" t="str">
        <f aca="false">Cities!A12</f>
        <v>PAR</v>
      </c>
      <c r="B16" s="10" t="str">
        <f aca="false">Cities!B12</f>
        <v>Paris</v>
      </c>
      <c r="C16" s="11" t="str">
        <f aca="false">IFERROR(AVERAGEIFS(Signals!$G:$G,Signals!$B:$B,$A16,Signals!$C:$C,C$5),"")</f>
        <v/>
      </c>
      <c r="D16" s="11" t="str">
        <f aca="false">IFERROR(AVERAGEIFS(Signals!$G:$G,Signals!$B:$B,$A16,Signals!$C:$C,D$5),"")</f>
        <v/>
      </c>
      <c r="E16" s="11" t="str">
        <f aca="false">IFERROR(AVERAGEIFS(Signals!$G:$G,Signals!$B:$B,$A16,Signals!$C:$C,E$5),"")</f>
        <v/>
      </c>
      <c r="F16" s="11" t="str">
        <f aca="false">IFERROR(AVERAGEIFS(Signals!$G:$G,Signals!$B:$B,$A16,Signals!$C:$C,F$5),"")</f>
        <v/>
      </c>
      <c r="G16" s="11" t="str">
        <f aca="false">IFERROR(AVERAGEIFS(Signals!$G:$G,Signals!$B:$B,$A16,Signals!$C:$C,G$5),"")</f>
        <v/>
      </c>
    </row>
    <row r="17" customFormat="false" ht="15" hidden="false" customHeight="false" outlineLevel="0" collapsed="false">
      <c r="A17" s="10" t="str">
        <f aca="false">Cities!A13</f>
        <v>NYC</v>
      </c>
      <c r="B17" s="10" t="str">
        <f aca="false">Cities!B13</f>
        <v>New York</v>
      </c>
      <c r="C17" s="11" t="str">
        <f aca="false">IFERROR(AVERAGEIFS(Signals!$G:$G,Signals!$B:$B,$A17,Signals!$C:$C,C$5),"")</f>
        <v/>
      </c>
      <c r="D17" s="11" t="str">
        <f aca="false">IFERROR(AVERAGEIFS(Signals!$G:$G,Signals!$B:$B,$A17,Signals!$C:$C,D$5),"")</f>
        <v/>
      </c>
      <c r="E17" s="11" t="str">
        <f aca="false">IFERROR(AVERAGEIFS(Signals!$G:$G,Signals!$B:$B,$A17,Signals!$C:$C,E$5),"")</f>
        <v/>
      </c>
      <c r="F17" s="11" t="str">
        <f aca="false">IFERROR(AVERAGEIFS(Signals!$G:$G,Signals!$B:$B,$A17,Signals!$C:$C,F$5),"")</f>
        <v/>
      </c>
      <c r="G17" s="11" t="str">
        <f aca="false">IFERROR(AVERAGEIFS(Signals!$G:$G,Signals!$B:$B,$A17,Signals!$C:$C,G$5),"")</f>
        <v/>
      </c>
    </row>
    <row r="18" customFormat="false" ht="15" hidden="false" customHeight="false" outlineLevel="0" collapsed="false">
      <c r="A18" s="10" t="str">
        <f aca="false">Cities!A14</f>
        <v>CLO</v>
      </c>
      <c r="B18" s="10" t="str">
        <f aca="false">Cities!B14</f>
        <v>Cali</v>
      </c>
      <c r="C18" s="11" t="str">
        <f aca="false">IFERROR(AVERAGEIFS(Signals!$G:$G,Signals!$B:$B,$A18,Signals!$C:$C,C$5),"")</f>
        <v/>
      </c>
      <c r="D18" s="11" t="str">
        <f aca="false">IFERROR(AVERAGEIFS(Signals!$G:$G,Signals!$B:$B,$A18,Signals!$C:$C,D$5),"")</f>
        <v/>
      </c>
      <c r="E18" s="11" t="str">
        <f aca="false">IFERROR(AVERAGEIFS(Signals!$G:$G,Signals!$B:$B,$A18,Signals!$C:$C,E$5),"")</f>
        <v/>
      </c>
      <c r="F18" s="11" t="str">
        <f aca="false">IFERROR(AVERAGEIFS(Signals!$G:$G,Signals!$B:$B,$A18,Signals!$C:$C,F$5),"")</f>
        <v/>
      </c>
      <c r="G18" s="11" t="str">
        <f aca="false">IFERROR(AVERAGEIFS(Signals!$G:$G,Signals!$B:$B,$A18,Signals!$C:$C,G$5),"")</f>
        <v/>
      </c>
    </row>
    <row r="20" customFormat="false" ht="15" hidden="false" customHeight="false" outlineLevel="0" collapsed="false">
      <c r="A20" s="8" t="s">
        <v>512</v>
      </c>
    </row>
    <row r="21" customFormat="false" ht="15" hidden="false" customHeight="false" outlineLevel="0" collapsed="false">
      <c r="A21" s="9" t="s">
        <v>98</v>
      </c>
      <c r="B21" s="9" t="s">
        <v>99</v>
      </c>
      <c r="C21" s="9" t="s">
        <v>26</v>
      </c>
      <c r="D21" s="9" t="s">
        <v>32</v>
      </c>
      <c r="E21" s="9" t="s">
        <v>48</v>
      </c>
      <c r="F21" s="9" t="s">
        <v>62</v>
      </c>
      <c r="G21" s="9" t="s">
        <v>78</v>
      </c>
    </row>
    <row r="22" customFormat="false" ht="15" hidden="false" customHeight="false" outlineLevel="0" collapsed="false">
      <c r="A22" s="10" t="str">
        <f aca="false">Cities!A2</f>
        <v>SBG</v>
      </c>
      <c r="B22" s="10" t="str">
        <f aca="false">Cities!B2</f>
        <v>Salzburg</v>
      </c>
      <c r="C22" s="11" t="n">
        <f aca="false">COUNTIFS(Signals!$B:$B,$A22,Signals!$C:$C,C$21)</f>
        <v>0</v>
      </c>
      <c r="D22" s="11" t="n">
        <f aca="false">COUNTIFS(Signals!$B:$B,$A22,Signals!$C:$C,D$21)</f>
        <v>0</v>
      </c>
      <c r="E22" s="11" t="n">
        <f aca="false">COUNTIFS(Signals!$B:$B,$A22,Signals!$C:$C,E$21)</f>
        <v>0</v>
      </c>
      <c r="F22" s="11" t="n">
        <f aca="false">COUNTIFS(Signals!$B:$B,$A22,Signals!$C:$C,F$21)</f>
        <v>0</v>
      </c>
      <c r="G22" s="11" t="n">
        <f aca="false">COUNTIFS(Signals!$B:$B,$A22,Signals!$C:$C,G$21)</f>
        <v>0</v>
      </c>
    </row>
    <row r="23" customFormat="false" ht="15" hidden="false" customHeight="false" outlineLevel="0" collapsed="false">
      <c r="A23" s="10" t="str">
        <f aca="false">Cities!A3</f>
        <v>INN</v>
      </c>
      <c r="B23" s="10" t="str">
        <f aca="false">Cities!B3</f>
        <v>Innsbruck</v>
      </c>
      <c r="C23" s="11" t="n">
        <f aca="false">COUNTIFS(Signals!$B:$B,$A23,Signals!$C:$C,C$21)</f>
        <v>0</v>
      </c>
      <c r="D23" s="11" t="n">
        <f aca="false">COUNTIFS(Signals!$B:$B,$A23,Signals!$C:$C,D$21)</f>
        <v>0</v>
      </c>
      <c r="E23" s="11" t="n">
        <f aca="false">COUNTIFS(Signals!$B:$B,$A23,Signals!$C:$C,E$21)</f>
        <v>0</v>
      </c>
      <c r="F23" s="11" t="n">
        <f aca="false">COUNTIFS(Signals!$B:$B,$A23,Signals!$C:$C,F$21)</f>
        <v>0</v>
      </c>
      <c r="G23" s="11" t="n">
        <f aca="false">COUNTIFS(Signals!$B:$B,$A23,Signals!$C:$C,G$21)</f>
        <v>0</v>
      </c>
    </row>
    <row r="24" customFormat="false" ht="15" hidden="false" customHeight="false" outlineLevel="0" collapsed="false">
      <c r="A24" s="10" t="str">
        <f aca="false">Cities!A4</f>
        <v>VIE</v>
      </c>
      <c r="B24" s="10" t="str">
        <f aca="false">Cities!B4</f>
        <v>Vienna</v>
      </c>
      <c r="C24" s="11" t="n">
        <f aca="false">COUNTIFS(Signals!$B:$B,$A24,Signals!$C:$C,C$21)</f>
        <v>0</v>
      </c>
      <c r="D24" s="11" t="n">
        <f aca="false">COUNTIFS(Signals!$B:$B,$A24,Signals!$C:$C,D$21)</f>
        <v>0</v>
      </c>
      <c r="E24" s="11" t="n">
        <f aca="false">COUNTIFS(Signals!$B:$B,$A24,Signals!$C:$C,E$21)</f>
        <v>0</v>
      </c>
      <c r="F24" s="11" t="n">
        <f aca="false">COUNTIFS(Signals!$B:$B,$A24,Signals!$C:$C,F$21)</f>
        <v>0</v>
      </c>
      <c r="G24" s="11" t="n">
        <f aca="false">COUNTIFS(Signals!$B:$B,$A24,Signals!$C:$C,G$21)</f>
        <v>0</v>
      </c>
    </row>
    <row r="25" customFormat="false" ht="15" hidden="false" customHeight="false" outlineLevel="0" collapsed="false">
      <c r="A25" s="10" t="str">
        <f aca="false">Cities!A5</f>
        <v>MUC</v>
      </c>
      <c r="B25" s="10" t="str">
        <f aca="false">Cities!B5</f>
        <v>Munich</v>
      </c>
      <c r="C25" s="11" t="n">
        <f aca="false">COUNTIFS(Signals!$B:$B,$A25,Signals!$C:$C,C$21)</f>
        <v>0</v>
      </c>
      <c r="D25" s="11" t="n">
        <f aca="false">COUNTIFS(Signals!$B:$B,$A25,Signals!$C:$C,D$21)</f>
        <v>0</v>
      </c>
      <c r="E25" s="11" t="n">
        <f aca="false">COUNTIFS(Signals!$B:$B,$A25,Signals!$C:$C,E$21)</f>
        <v>0</v>
      </c>
      <c r="F25" s="11" t="n">
        <f aca="false">COUNTIFS(Signals!$B:$B,$A25,Signals!$C:$C,F$21)</f>
        <v>0</v>
      </c>
      <c r="G25" s="11" t="n">
        <f aca="false">COUNTIFS(Signals!$B:$B,$A25,Signals!$C:$C,G$21)</f>
        <v>0</v>
      </c>
    </row>
    <row r="26" customFormat="false" ht="15" hidden="false" customHeight="false" outlineLevel="0" collapsed="false">
      <c r="A26" s="10" t="str">
        <f aca="false">Cities!A6</f>
        <v>MIL</v>
      </c>
      <c r="B26" s="10" t="str">
        <f aca="false">Cities!B6</f>
        <v>Milan</v>
      </c>
      <c r="C26" s="11" t="n">
        <f aca="false">COUNTIFS(Signals!$B:$B,$A26,Signals!$C:$C,C$21)</f>
        <v>0</v>
      </c>
      <c r="D26" s="11" t="n">
        <f aca="false">COUNTIFS(Signals!$B:$B,$A26,Signals!$C:$C,D$21)</f>
        <v>0</v>
      </c>
      <c r="E26" s="11" t="n">
        <f aca="false">COUNTIFS(Signals!$B:$B,$A26,Signals!$C:$C,E$21)</f>
        <v>0</v>
      </c>
      <c r="F26" s="11" t="n">
        <f aca="false">COUNTIFS(Signals!$B:$B,$A26,Signals!$C:$C,F$21)</f>
        <v>0</v>
      </c>
      <c r="G26" s="11" t="n">
        <f aca="false">COUNTIFS(Signals!$B:$B,$A26,Signals!$C:$C,G$21)</f>
        <v>0</v>
      </c>
    </row>
    <row r="27" customFormat="false" ht="15" hidden="false" customHeight="false" outlineLevel="0" collapsed="false">
      <c r="A27" s="10" t="str">
        <f aca="false">Cities!A7</f>
        <v>BCN</v>
      </c>
      <c r="B27" s="10" t="str">
        <f aca="false">Cities!B7</f>
        <v>Barcelona</v>
      </c>
      <c r="C27" s="11" t="n">
        <f aca="false">COUNTIFS(Signals!$B:$B,$A27,Signals!$C:$C,C$21)</f>
        <v>0</v>
      </c>
      <c r="D27" s="11" t="n">
        <f aca="false">COUNTIFS(Signals!$B:$B,$A27,Signals!$C:$C,D$21)</f>
        <v>0</v>
      </c>
      <c r="E27" s="11" t="n">
        <f aca="false">COUNTIFS(Signals!$B:$B,$A27,Signals!$C:$C,E$21)</f>
        <v>0</v>
      </c>
      <c r="F27" s="11" t="n">
        <f aca="false">COUNTIFS(Signals!$B:$B,$A27,Signals!$C:$C,F$21)</f>
        <v>0</v>
      </c>
      <c r="G27" s="11" t="n">
        <f aca="false">COUNTIFS(Signals!$B:$B,$A27,Signals!$C:$C,G$21)</f>
        <v>0</v>
      </c>
    </row>
    <row r="28" customFormat="false" ht="15" hidden="false" customHeight="false" outlineLevel="0" collapsed="false">
      <c r="A28" s="10" t="str">
        <f aca="false">Cities!A8</f>
        <v>AMS</v>
      </c>
      <c r="B28" s="10" t="str">
        <f aca="false">Cities!B8</f>
        <v>Amsterdam</v>
      </c>
      <c r="C28" s="11" t="n">
        <f aca="false">COUNTIFS(Signals!$B:$B,$A28,Signals!$C:$C,C$21)</f>
        <v>0</v>
      </c>
      <c r="D28" s="11" t="n">
        <f aca="false">COUNTIFS(Signals!$B:$B,$A28,Signals!$C:$C,D$21)</f>
        <v>0</v>
      </c>
      <c r="E28" s="11" t="n">
        <f aca="false">COUNTIFS(Signals!$B:$B,$A28,Signals!$C:$C,E$21)</f>
        <v>0</v>
      </c>
      <c r="F28" s="11" t="n">
        <f aca="false">COUNTIFS(Signals!$B:$B,$A28,Signals!$C:$C,F$21)</f>
        <v>0</v>
      </c>
      <c r="G28" s="11" t="n">
        <f aca="false">COUNTIFS(Signals!$B:$B,$A28,Signals!$C:$C,G$21)</f>
        <v>0</v>
      </c>
    </row>
    <row r="29" customFormat="false" ht="15" hidden="false" customHeight="false" outlineLevel="0" collapsed="false">
      <c r="A29" s="10" t="str">
        <f aca="false">Cities!A9</f>
        <v>BER</v>
      </c>
      <c r="B29" s="10" t="str">
        <f aca="false">Cities!B9</f>
        <v>Berlin</v>
      </c>
      <c r="C29" s="11" t="n">
        <f aca="false">COUNTIFS(Signals!$B:$B,$A29,Signals!$C:$C,C$21)</f>
        <v>0</v>
      </c>
      <c r="D29" s="11" t="n">
        <f aca="false">COUNTIFS(Signals!$B:$B,$A29,Signals!$C:$C,D$21)</f>
        <v>0</v>
      </c>
      <c r="E29" s="11" t="n">
        <f aca="false">COUNTIFS(Signals!$B:$B,$A29,Signals!$C:$C,E$21)</f>
        <v>0</v>
      </c>
      <c r="F29" s="11" t="n">
        <f aca="false">COUNTIFS(Signals!$B:$B,$A29,Signals!$C:$C,F$21)</f>
        <v>0</v>
      </c>
      <c r="G29" s="11" t="n">
        <f aca="false">COUNTIFS(Signals!$B:$B,$A29,Signals!$C:$C,G$21)</f>
        <v>0</v>
      </c>
    </row>
    <row r="30" customFormat="false" ht="15" hidden="false" customHeight="false" outlineLevel="0" collapsed="false">
      <c r="A30" s="10" t="str">
        <f aca="false">Cities!A10</f>
        <v>GRZ</v>
      </c>
      <c r="B30" s="10" t="str">
        <f aca="false">Cities!B10</f>
        <v>Graz</v>
      </c>
      <c r="C30" s="11" t="n">
        <f aca="false">COUNTIFS(Signals!$B:$B,$A30,Signals!$C:$C,C$21)</f>
        <v>0</v>
      </c>
      <c r="D30" s="11" t="n">
        <f aca="false">COUNTIFS(Signals!$B:$B,$A30,Signals!$C:$C,D$21)</f>
        <v>0</v>
      </c>
      <c r="E30" s="11" t="n">
        <f aca="false">COUNTIFS(Signals!$B:$B,$A30,Signals!$C:$C,E$21)</f>
        <v>0</v>
      </c>
      <c r="F30" s="11" t="n">
        <f aca="false">COUNTIFS(Signals!$B:$B,$A30,Signals!$C:$C,F$21)</f>
        <v>0</v>
      </c>
      <c r="G30" s="11" t="n">
        <f aca="false">COUNTIFS(Signals!$B:$B,$A30,Signals!$C:$C,G$21)</f>
        <v>0</v>
      </c>
    </row>
    <row r="31" customFormat="false" ht="15" hidden="false" customHeight="false" outlineLevel="0" collapsed="false">
      <c r="A31" s="10" t="str">
        <f aca="false">Cities!A11</f>
        <v>MAD</v>
      </c>
      <c r="B31" s="10" t="str">
        <f aca="false">Cities!B11</f>
        <v>Madrid</v>
      </c>
      <c r="C31" s="11" t="n">
        <f aca="false">COUNTIFS(Signals!$B:$B,$A31,Signals!$C:$C,C$21)</f>
        <v>0</v>
      </c>
      <c r="D31" s="11" t="n">
        <f aca="false">COUNTIFS(Signals!$B:$B,$A31,Signals!$C:$C,D$21)</f>
        <v>0</v>
      </c>
      <c r="E31" s="11" t="n">
        <f aca="false">COUNTIFS(Signals!$B:$B,$A31,Signals!$C:$C,E$21)</f>
        <v>0</v>
      </c>
      <c r="F31" s="11" t="n">
        <f aca="false">COUNTIFS(Signals!$B:$B,$A31,Signals!$C:$C,F$21)</f>
        <v>0</v>
      </c>
      <c r="G31" s="11" t="n">
        <f aca="false">COUNTIFS(Signals!$B:$B,$A31,Signals!$C:$C,G$21)</f>
        <v>0</v>
      </c>
    </row>
    <row r="32" customFormat="false" ht="15" hidden="false" customHeight="false" outlineLevel="0" collapsed="false">
      <c r="A32" s="10" t="str">
        <f aca="false">Cities!A12</f>
        <v>PAR</v>
      </c>
      <c r="B32" s="10" t="str">
        <f aca="false">Cities!B12</f>
        <v>Paris</v>
      </c>
      <c r="C32" s="11" t="n">
        <f aca="false">COUNTIFS(Signals!$B:$B,$A32,Signals!$C:$C,C$21)</f>
        <v>0</v>
      </c>
      <c r="D32" s="11" t="n">
        <f aca="false">COUNTIFS(Signals!$B:$B,$A32,Signals!$C:$C,D$21)</f>
        <v>0</v>
      </c>
      <c r="E32" s="11" t="n">
        <f aca="false">COUNTIFS(Signals!$B:$B,$A32,Signals!$C:$C,E$21)</f>
        <v>0</v>
      </c>
      <c r="F32" s="11" t="n">
        <f aca="false">COUNTIFS(Signals!$B:$B,$A32,Signals!$C:$C,F$21)</f>
        <v>0</v>
      </c>
      <c r="G32" s="11" t="n">
        <f aca="false">COUNTIFS(Signals!$B:$B,$A32,Signals!$C:$C,G$21)</f>
        <v>0</v>
      </c>
    </row>
    <row r="33" customFormat="false" ht="15" hidden="false" customHeight="false" outlineLevel="0" collapsed="false">
      <c r="A33" s="10" t="str">
        <f aca="false">Cities!A13</f>
        <v>NYC</v>
      </c>
      <c r="B33" s="10" t="str">
        <f aca="false">Cities!B13</f>
        <v>New York</v>
      </c>
      <c r="C33" s="11" t="n">
        <f aca="false">COUNTIFS(Signals!$B:$B,$A33,Signals!$C:$C,C$21)</f>
        <v>0</v>
      </c>
      <c r="D33" s="11" t="n">
        <f aca="false">COUNTIFS(Signals!$B:$B,$A33,Signals!$C:$C,D$21)</f>
        <v>0</v>
      </c>
      <c r="E33" s="11" t="n">
        <f aca="false">COUNTIFS(Signals!$B:$B,$A33,Signals!$C:$C,E$21)</f>
        <v>0</v>
      </c>
      <c r="F33" s="11" t="n">
        <f aca="false">COUNTIFS(Signals!$B:$B,$A33,Signals!$C:$C,F$21)</f>
        <v>0</v>
      </c>
      <c r="G33" s="11" t="n">
        <f aca="false">COUNTIFS(Signals!$B:$B,$A33,Signals!$C:$C,G$21)</f>
        <v>0</v>
      </c>
    </row>
    <row r="34" customFormat="false" ht="15" hidden="false" customHeight="false" outlineLevel="0" collapsed="false">
      <c r="A34" s="10" t="str">
        <f aca="false">Cities!A14</f>
        <v>CLO</v>
      </c>
      <c r="B34" s="10" t="str">
        <f aca="false">Cities!B14</f>
        <v>Cali</v>
      </c>
      <c r="C34" s="11" t="n">
        <f aca="false">COUNTIFS(Signals!$B:$B,$A34,Signals!$C:$C,C$21)</f>
        <v>0</v>
      </c>
      <c r="D34" s="11" t="n">
        <f aca="false">COUNTIFS(Signals!$B:$B,$A34,Signals!$C:$C,D$21)</f>
        <v>0</v>
      </c>
      <c r="E34" s="11" t="n">
        <f aca="false">COUNTIFS(Signals!$B:$B,$A34,Signals!$C:$C,E$21)</f>
        <v>0</v>
      </c>
      <c r="F34" s="11" t="n">
        <f aca="false">COUNTIFS(Signals!$B:$B,$A34,Signals!$C:$C,F$21)</f>
        <v>0</v>
      </c>
      <c r="G34" s="11" t="n">
        <f aca="false">COUNTIFS(Signals!$B:$B,$A34,Signals!$C:$C,G$21)</f>
        <v>0</v>
      </c>
    </row>
    <row r="36" customFormat="false" ht="15" hidden="false" customHeight="false" outlineLevel="0" collapsed="false">
      <c r="A36" s="8" t="s">
        <v>513</v>
      </c>
    </row>
    <row r="37" customFormat="false" ht="15" hidden="false" customHeight="false" outlineLevel="0" collapsed="false">
      <c r="A37" s="9" t="s">
        <v>98</v>
      </c>
      <c r="B37" s="9" t="s">
        <v>99</v>
      </c>
      <c r="C37" s="9" t="s">
        <v>514</v>
      </c>
      <c r="D37" s="9" t="s">
        <v>32</v>
      </c>
      <c r="E37" s="9" t="s">
        <v>48</v>
      </c>
      <c r="F37" s="9" t="s">
        <v>62</v>
      </c>
      <c r="G37" s="9" t="s">
        <v>78</v>
      </c>
    </row>
    <row r="38" customFormat="false" ht="15" hidden="false" customHeight="false" outlineLevel="0" collapsed="false">
      <c r="A38" s="10" t="str">
        <f aca="false">Cities!A2</f>
        <v>SBG</v>
      </c>
      <c r="B38" s="10" t="str">
        <f aca="false">Cities!B2</f>
        <v>Salzburg</v>
      </c>
      <c r="C38" s="11" t="n">
        <f aca="false">COUNTIFS(RedBull!$D:$D,$B38)</f>
        <v>1</v>
      </c>
      <c r="D38" s="11"/>
      <c r="E38" s="11"/>
      <c r="F38" s="11"/>
      <c r="G38" s="11"/>
    </row>
    <row r="39" customFormat="false" ht="15" hidden="false" customHeight="false" outlineLevel="0" collapsed="false">
      <c r="A39" s="10" t="str">
        <f aca="false">Cities!A3</f>
        <v>INN</v>
      </c>
      <c r="B39" s="10" t="str">
        <f aca="false">Cities!B3</f>
        <v>Innsbruck</v>
      </c>
      <c r="C39" s="11" t="n">
        <f aca="false">COUNTIFS(RedBull!$D:$D,$B39)</f>
        <v>1</v>
      </c>
      <c r="D39" s="11"/>
      <c r="E39" s="11"/>
      <c r="F39" s="11"/>
      <c r="G39" s="11"/>
    </row>
    <row r="40" customFormat="false" ht="15" hidden="false" customHeight="false" outlineLevel="0" collapsed="false">
      <c r="A40" s="10" t="str">
        <f aca="false">Cities!A4</f>
        <v>VIE</v>
      </c>
      <c r="B40" s="10" t="str">
        <f aca="false">Cities!B4</f>
        <v>Vienna</v>
      </c>
      <c r="C40" s="11" t="n">
        <f aca="false">COUNTIFS(RedBull!$D:$D,$B40)</f>
        <v>2</v>
      </c>
      <c r="D40" s="11"/>
      <c r="E40" s="11"/>
      <c r="F40" s="11"/>
      <c r="G40" s="11"/>
    </row>
    <row r="41" customFormat="false" ht="15" hidden="false" customHeight="false" outlineLevel="0" collapsed="false">
      <c r="A41" s="10" t="str">
        <f aca="false">Cities!A5</f>
        <v>MUC</v>
      </c>
      <c r="B41" s="10" t="str">
        <f aca="false">Cities!B5</f>
        <v>Munich</v>
      </c>
      <c r="C41" s="11" t="n">
        <f aca="false">COUNTIFS(RedBull!$D:$D,$B41)</f>
        <v>0</v>
      </c>
      <c r="D41" s="11"/>
      <c r="E41" s="11"/>
      <c r="F41" s="11"/>
      <c r="G41" s="11"/>
    </row>
    <row r="42" customFormat="false" ht="15" hidden="false" customHeight="false" outlineLevel="0" collapsed="false">
      <c r="A42" s="10" t="str">
        <f aca="false">Cities!A6</f>
        <v>MIL</v>
      </c>
      <c r="B42" s="10" t="str">
        <f aca="false">Cities!B6</f>
        <v>Milan</v>
      </c>
      <c r="C42" s="11" t="n">
        <f aca="false">COUNTIFS(RedBull!$D:$D,$B42)</f>
        <v>0</v>
      </c>
      <c r="D42" s="11"/>
      <c r="E42" s="11"/>
      <c r="F42" s="11"/>
      <c r="G42" s="11"/>
    </row>
    <row r="43" customFormat="false" ht="15" hidden="false" customHeight="false" outlineLevel="0" collapsed="false">
      <c r="A43" s="10" t="str">
        <f aca="false">Cities!A7</f>
        <v>BCN</v>
      </c>
      <c r="B43" s="10" t="str">
        <f aca="false">Cities!B7</f>
        <v>Barcelona</v>
      </c>
      <c r="C43" s="11" t="n">
        <f aca="false">COUNTIFS(RedBull!$D:$D,$B43)</f>
        <v>0</v>
      </c>
      <c r="D43" s="11"/>
      <c r="E43" s="11"/>
      <c r="F43" s="11"/>
      <c r="G43" s="11"/>
    </row>
    <row r="44" customFormat="false" ht="15" hidden="false" customHeight="false" outlineLevel="0" collapsed="false">
      <c r="A44" s="10" t="str">
        <f aca="false">Cities!A8</f>
        <v>AMS</v>
      </c>
      <c r="B44" s="10" t="str">
        <f aca="false">Cities!B8</f>
        <v>Amsterdam</v>
      </c>
      <c r="C44" s="11" t="n">
        <f aca="false">COUNTIFS(RedBull!$D:$D,$B44)</f>
        <v>0</v>
      </c>
      <c r="D44" s="11"/>
      <c r="E44" s="11"/>
      <c r="F44" s="11"/>
      <c r="G44" s="11"/>
    </row>
    <row r="45" customFormat="false" ht="15" hidden="false" customHeight="false" outlineLevel="0" collapsed="false">
      <c r="A45" s="10" t="str">
        <f aca="false">Cities!A9</f>
        <v>BER</v>
      </c>
      <c r="B45" s="10" t="str">
        <f aca="false">Cities!B9</f>
        <v>Berlin</v>
      </c>
      <c r="C45" s="11" t="n">
        <f aca="false">COUNTIFS(RedBull!$D:$D,$B45)</f>
        <v>1</v>
      </c>
      <c r="D45" s="11"/>
      <c r="E45" s="11"/>
      <c r="F45" s="11"/>
      <c r="G45" s="11"/>
    </row>
    <row r="46" customFormat="false" ht="15" hidden="false" customHeight="false" outlineLevel="0" collapsed="false">
      <c r="A46" s="10" t="str">
        <f aca="false">Cities!A10</f>
        <v>GRZ</v>
      </c>
      <c r="B46" s="10" t="str">
        <f aca="false">Cities!B10</f>
        <v>Graz</v>
      </c>
      <c r="C46" s="11" t="n">
        <f aca="false">COUNTIFS(RedBull!$D:$D,$B46)</f>
        <v>0</v>
      </c>
      <c r="D46" s="11"/>
      <c r="E46" s="11"/>
      <c r="F46" s="11"/>
      <c r="G46" s="11"/>
    </row>
    <row r="47" customFormat="false" ht="15" hidden="false" customHeight="false" outlineLevel="0" collapsed="false">
      <c r="A47" s="10" t="str">
        <f aca="false">Cities!A11</f>
        <v>MAD</v>
      </c>
      <c r="B47" s="10" t="str">
        <f aca="false">Cities!B11</f>
        <v>Madrid</v>
      </c>
      <c r="C47" s="11" t="n">
        <f aca="false">COUNTIFS(RedBull!$D:$D,$B47)</f>
        <v>1</v>
      </c>
      <c r="D47" s="11"/>
      <c r="E47" s="11"/>
      <c r="F47" s="11"/>
      <c r="G47" s="11"/>
    </row>
    <row r="48" customFormat="false" ht="15" hidden="false" customHeight="false" outlineLevel="0" collapsed="false">
      <c r="A48" s="10" t="str">
        <f aca="false">Cities!A12</f>
        <v>PAR</v>
      </c>
      <c r="B48" s="10" t="str">
        <f aca="false">Cities!B12</f>
        <v>Paris</v>
      </c>
      <c r="C48" s="11" t="n">
        <f aca="false">COUNTIFS(RedBull!$D:$D,$B48)</f>
        <v>0</v>
      </c>
      <c r="D48" s="11"/>
      <c r="E48" s="11"/>
      <c r="F48" s="11"/>
      <c r="G48" s="11"/>
    </row>
    <row r="49" customFormat="false" ht="15" hidden="false" customHeight="false" outlineLevel="0" collapsed="false">
      <c r="A49" s="10" t="str">
        <f aca="false">Cities!A13</f>
        <v>NYC</v>
      </c>
      <c r="B49" s="10" t="str">
        <f aca="false">Cities!B13</f>
        <v>New York</v>
      </c>
      <c r="C49" s="11" t="n">
        <f aca="false">COUNTIFS(RedBull!$D:$D,$B49)</f>
        <v>0</v>
      </c>
      <c r="D49" s="11"/>
      <c r="E49" s="11"/>
      <c r="F49" s="11"/>
      <c r="G49" s="11"/>
    </row>
    <row r="50" customFormat="false" ht="15" hidden="false" customHeight="false" outlineLevel="0" collapsed="false">
      <c r="A50" s="10" t="str">
        <f aca="false">Cities!A14</f>
        <v>CLO</v>
      </c>
      <c r="B50" s="10" t="str">
        <f aca="false">Cities!B14</f>
        <v>Cali</v>
      </c>
      <c r="C50" s="11" t="n">
        <f aca="false">COUNTIFS(RedBull!$D:$D,$B50)</f>
        <v>0</v>
      </c>
      <c r="D50" s="11"/>
      <c r="E50" s="11"/>
      <c r="F50" s="11"/>
      <c r="G50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0"/>
    <col collapsed="false" customWidth="true" hidden="false" outlineLevel="0" max="3" min="3" style="0" width="12"/>
    <col collapsed="false" customWidth="true" hidden="false" outlineLevel="0" max="4" min="4" style="0" width="40"/>
  </cols>
  <sheetData>
    <row r="1" customFormat="false" ht="30" hidden="false" customHeight="true" outlineLevel="0" collapsed="false">
      <c r="A1" s="4" t="s">
        <v>515</v>
      </c>
      <c r="B1" s="4" t="s">
        <v>516</v>
      </c>
      <c r="C1" s="4" t="s">
        <v>517</v>
      </c>
      <c r="D1" s="4" t="s">
        <v>25</v>
      </c>
    </row>
    <row r="2" customFormat="false" ht="23.85" hidden="false" customHeight="false" outlineLevel="0" collapsed="false">
      <c r="A2" s="2" t="s">
        <v>231</v>
      </c>
      <c r="B2" s="2" t="s">
        <v>518</v>
      </c>
      <c r="C2" s="2" t="s">
        <v>519</v>
      </c>
      <c r="D2" s="2"/>
    </row>
    <row r="3" customFormat="false" ht="23.85" hidden="false" customHeight="false" outlineLevel="0" collapsed="false">
      <c r="A3" s="2" t="s">
        <v>231</v>
      </c>
      <c r="B3" s="2" t="s">
        <v>520</v>
      </c>
      <c r="C3" s="2" t="s">
        <v>519</v>
      </c>
      <c r="D3" s="2"/>
    </row>
    <row r="4" customFormat="false" ht="15" hidden="false" customHeight="false" outlineLevel="0" collapsed="false">
      <c r="A4" s="2" t="s">
        <v>231</v>
      </c>
      <c r="B4" s="2" t="s">
        <v>521</v>
      </c>
      <c r="C4" s="2" t="s">
        <v>519</v>
      </c>
      <c r="D4" s="2"/>
    </row>
    <row r="5" customFormat="false" ht="15" hidden="false" customHeight="false" outlineLevel="0" collapsed="false">
      <c r="A5" s="2" t="s">
        <v>231</v>
      </c>
      <c r="B5" s="2" t="s">
        <v>522</v>
      </c>
      <c r="C5" s="2" t="s">
        <v>519</v>
      </c>
      <c r="D5" s="2" t="s">
        <v>523</v>
      </c>
    </row>
    <row r="6" customFormat="false" ht="15" hidden="false" customHeight="false" outlineLevel="0" collapsed="false">
      <c r="A6" s="2" t="s">
        <v>231</v>
      </c>
      <c r="B6" s="2" t="s">
        <v>524</v>
      </c>
      <c r="C6" s="2" t="s">
        <v>525</v>
      </c>
      <c r="D6" s="2" t="s">
        <v>526</v>
      </c>
    </row>
    <row r="7" customFormat="false" ht="23.85" hidden="false" customHeight="false" outlineLevel="0" collapsed="false">
      <c r="A7" s="2" t="s">
        <v>231</v>
      </c>
      <c r="B7" s="2" t="s">
        <v>527</v>
      </c>
      <c r="C7" s="2" t="s">
        <v>519</v>
      </c>
      <c r="D7" s="2"/>
    </row>
    <row r="8" customFormat="false" ht="15" hidden="false" customHeight="false" outlineLevel="0" collapsed="false">
      <c r="A8" s="2" t="s">
        <v>231</v>
      </c>
      <c r="B8" s="2" t="s">
        <v>528</v>
      </c>
      <c r="C8" s="2" t="s">
        <v>519</v>
      </c>
      <c r="D8" s="2"/>
    </row>
    <row r="9" customFormat="false" ht="15" hidden="false" customHeight="false" outlineLevel="0" collapsed="false">
      <c r="A9" s="2" t="s">
        <v>231</v>
      </c>
      <c r="B9" s="2" t="s">
        <v>529</v>
      </c>
      <c r="C9" s="2" t="s">
        <v>530</v>
      </c>
      <c r="D9" s="2" t="s">
        <v>531</v>
      </c>
    </row>
    <row r="10" customFormat="false" ht="15" hidden="false" customHeight="false" outlineLevel="0" collapsed="false">
      <c r="A10" s="2" t="s">
        <v>231</v>
      </c>
      <c r="B10" s="2" t="s">
        <v>532</v>
      </c>
      <c r="C10" s="2" t="s">
        <v>525</v>
      </c>
      <c r="D10" s="2" t="s">
        <v>533</v>
      </c>
    </row>
    <row r="11" customFormat="false" ht="15" hidden="false" customHeight="false" outlineLevel="0" collapsed="false">
      <c r="A11" s="2" t="s">
        <v>231</v>
      </c>
      <c r="B11" s="2" t="s">
        <v>534</v>
      </c>
      <c r="C11" s="2" t="s">
        <v>530</v>
      </c>
      <c r="D11" s="2"/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2026-10-19T14:03:45Z</dcterms:created>
  <dc:creator>openpyxl</dc:creator>
  <dc:description/>
  <dc:language>en-US</dc:language>
  <cp:lastModifiedBy/>
  <dcterms:modified xsi:type="dcterms:W3CDTF">2026-10-19T14:03:45Z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