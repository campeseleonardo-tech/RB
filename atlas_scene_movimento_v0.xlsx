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720" tabRatio="500" firstSheet="0" activeTab="0" autoFilterDateGrouping="1"/>
  </bookViews>
  <sheets>
    <sheet name="README" sheetId="1" state="visible" r:id="rId1"/>
    <sheet name="Disciplines" sheetId="2" state="visible" r:id="rId2"/>
    <sheet name="Cities" sheetId="3" state="visible" r:id="rId3"/>
    <sheet name="SignalDefs" sheetId="4" state="visible" r:id="rId4"/>
    <sheet name="Signals" sheetId="5" state="visible" r:id="rId5"/>
    <sheet name="Events" sheetId="6" state="visible" r:id="rId6"/>
    <sheet name="RedBull" sheetId="7" state="visible" r:id="rId7"/>
    <sheet name="Ladder" sheetId="8" state="visible" r:id="rId8"/>
    <sheet name="Athletes" sheetId="9" state="visible" r:id="rId9"/>
    <sheet name="Keywords" sheetId="10" state="visible" r:id="rId10"/>
    <sheet name="Grid" sheetId="11" state="visible" r:id="rId11"/>
    <sheet name="Decisions" sheetId="12" state="visible" r:id="rId12"/>
  </sheets>
  <definedNames>
    <definedName name="_xlnm._FilterDatabase" localSheetId="1" hidden="1">'Disciplines'!$A$1:$H$26</definedName>
    <definedName name="_xlnm._FilterDatabase" localSheetId="2" hidden="1">'Cities'!$A$1:$K$14</definedName>
    <definedName name="_xlnm._FilterDatabase" localSheetId="3" hidden="1">'SignalDefs'!$A$1:$F$10</definedName>
    <definedName name="_xlnm._FilterDatabase" localSheetId="4" hidden="1">'Signals'!$A$1:$K$2</definedName>
    <definedName name="_xlnm._FilterDatabase" localSheetId="5" hidden="1">'Events'!$A$1:$M$2</definedName>
    <definedName name="_xlnm._FilterDatabase" localSheetId="6" hidden="1">'RedBull'!$A$1:$L$48</definedName>
    <definedName name="_xlnm._FilterDatabase" localSheetId="7" hidden="1">'Ladder'!$A$1:$G$2</definedName>
    <definedName name="_xlnm._FilterDatabase" localSheetId="8" hidden="1">'Athletes'!$A$1:$J$2</definedName>
    <definedName name="_xlnm._FilterDatabase" localSheetId="9" hidden="1">'Keywords'!$A$1:$J$21</definedName>
    <definedName name="_xlnm._FilterDatabase" localSheetId="11" hidden="1">'Decisions'!$A$1:$D$11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6">
    <font>
      <name val="Calibri"/>
      <charset val="1"/>
      <family val="2"/>
      <color theme="1"/>
      <sz val="11"/>
    </font>
    <font>
      <name val="Arial"/>
      <charset val="1"/>
      <b val="1"/>
      <sz val="14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b val="1"/>
      <color rgb="FFFFFFFF"/>
      <sz val="10"/>
    </font>
    <font>
      <name val="Arial"/>
      <charset val="1"/>
      <i val="1"/>
      <color rgb="FF7F7F7F"/>
      <sz val="10"/>
    </font>
  </fonts>
  <fills count="5">
    <fill>
      <patternFill/>
    </fill>
    <fill>
      <patternFill patternType="gray125"/>
    </fill>
    <fill>
      <patternFill patternType="solid">
        <fgColor rgb="FF1F3A4D"/>
        <bgColor rgb="FF003366"/>
      </patternFill>
    </fill>
    <fill>
      <patternFill patternType="solid">
        <fgColor rgb="FFF2F2F2"/>
        <bgColor rgb="FFE8F1F5"/>
      </patternFill>
    </fill>
    <fill>
      <patternFill patternType="solid">
        <fgColor rgb="FFE8F1F5"/>
        <b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vertical="center" wrapText="1"/>
    </xf>
    <xf numFmtId="0" fontId="5" fillId="3" borderId="0" applyAlignment="1" pivotButton="0" quotePrefix="0" xfId="0">
      <alignment vertical="top" wrapText="1"/>
    </xf>
    <xf numFmtId="0" fontId="1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2" fillId="0" borderId="0" pivotButton="0" quotePrefix="0" xfId="0"/>
    <xf numFmtId="0" fontId="2" fillId="4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2F2F2"/>
      <rgbColor rgb="FFE8F1F5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4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3"/>
  <sheetViews>
    <sheetView tabSelected="1" zoomScaleNormal="100" workbookViewId="0">
      <selection activeCell="A1" sqref="A1"/>
    </sheetView>
  </sheetViews>
  <sheetFormatPr baseColWidth="8" defaultColWidth="8.6640625" defaultRowHeight="14.4"/>
  <cols>
    <col width="120" customWidth="1" style="1" min="1" max="1"/>
  </cols>
  <sheetData>
    <row r="1" ht="17.4" customHeight="1" s="1">
      <c r="A1" s="2" t="inlineStr">
        <is>
          <t>Atlante delle scene di movimento: foglio di raccolta v0</t>
        </is>
      </c>
    </row>
    <row r="2" ht="15" customHeight="1" s="1">
      <c r="A2" s="3" t="n"/>
    </row>
    <row r="3" ht="15" customHeight="1" s="1">
      <c r="A3" s="4" t="inlineStr">
        <is>
          <t>A cosa serve</t>
        </is>
      </c>
    </row>
    <row r="4" ht="23.85" customHeight="1" s="1">
      <c r="A4" s="3" t="inlineStr">
        <is>
          <t>Raccogliere, da fonti pubbliche, quanto è presente ogni disciplina in ogni città (community, scuole, spazi, eventi, competizioni, atleti, interesse online, scala di progressione) e confrontarlo con la presenza Red Bull. La presenza Red Bull è UN dato tra gli altri, non il centro.</t>
        </is>
      </c>
    </row>
    <row r="5" ht="15" customHeight="1" s="1">
      <c r="A5" s="3" t="n"/>
    </row>
    <row r="6" ht="15" customHeight="1" s="1">
      <c r="A6" s="4" t="inlineStr">
        <is>
          <t>Come si usa</t>
        </is>
      </c>
    </row>
    <row r="7" ht="15" customHeight="1" s="1">
      <c r="A7" s="3" t="inlineStr">
        <is>
          <t>1. Disciplines e Cities: elenchi di partenza, da confermare. Si possono aggiungere righe.</t>
        </is>
      </c>
    </row>
    <row r="8" ht="23.85" customHeight="1" s="1">
      <c r="A8" s="3" t="inlineStr">
        <is>
          <t>2. Signals: una riga per ogni misura (città x disciplina x segnale). Si scrive SEMPRE il valore grezzo, l'unità, la fonte e la data; il punteggio 0-5 e la confidenza (H/M/L) servono per il confronto.</t>
        </is>
      </c>
    </row>
    <row r="9" ht="15" customHeight="1" s="1">
      <c r="A9" s="3" t="inlineStr">
        <is>
          <t>3. Events, Athletes, Ladder, Keywords: tabelle di dettaglio. RedBull: inventario delle tappe Red Bull trovate.</t>
        </is>
      </c>
    </row>
    <row r="10" ht="15" customHeight="1" s="1">
      <c r="A10" s="3" t="inlineStr">
        <is>
          <t>4. Grid si calcola da sola dalle altre schede (formule): non va modificata a mano.</t>
        </is>
      </c>
    </row>
    <row r="11" ht="15" customHeight="1" s="1">
      <c r="A11" s="3" t="inlineStr">
        <is>
          <t>5. Decisions: registro delle scelte e delle domande aperte.</t>
        </is>
      </c>
    </row>
    <row r="12" ht="15" customHeight="1" s="1">
      <c r="A12" s="3" t="n"/>
    </row>
    <row r="13" ht="15" customHeight="1" s="1">
      <c r="A13" s="4" t="inlineStr">
        <is>
          <t>Regole</t>
        </is>
      </c>
    </row>
    <row r="14" ht="23.85" customHeight="1" s="1">
      <c r="A14" s="3" t="inlineStr">
        <is>
          <t>Solo fonti pubbliche. Nessun dato personale di privati: in Athletes solo professionisti o partecipanti a gare con risultati pubblicati, nessun contatto o profilo social.</t>
        </is>
      </c>
    </row>
    <row r="15" ht="15" customHeight="1" s="1">
      <c r="A15" s="3" t="inlineStr">
        <is>
          <t>Ogni numero è una stima con un intervallo e una confidenza; un numero senza fonte non entra.</t>
        </is>
      </c>
    </row>
    <row r="16" ht="15" customHeight="1" s="1">
      <c r="A16" s="3" t="inlineStr">
        <is>
          <t>Punteggi 0-5: 0 = nulla trovato, 1 = molto piccolo, 3 = nella media per quella fascia di città, 5 = eccezionale. Da calibrare dopo le prime 2 città.</t>
        </is>
      </c>
    </row>
    <row r="17" ht="15" customHeight="1" s="1">
      <c r="A17" s="3" t="n"/>
    </row>
    <row r="18" ht="15" customHeight="1" s="1">
      <c r="A18" s="4" t="inlineStr">
        <is>
          <t>Stato dei dati</t>
        </is>
      </c>
    </row>
    <row r="19" ht="23.85" customHeight="1" s="1">
      <c r="A19" s="3" t="inlineStr">
        <is>
          <t>Verificato: tappe Red Bull 2026 elencate in RedBull (da pagine ufficiali e da un articolo), l'evento Hooked in Events. Le città compaiono come sono scritte nella fonte; dove la città è dedotta dal luogo è segnato 'inferred'.</t>
        </is>
      </c>
    </row>
    <row r="20" ht="23.85" customHeight="1" s="1">
      <c r="A20" s="3" t="inlineStr">
        <is>
          <t>Da confermare: terza disciplina (proposta: tricking), elenco delle città, città 'ancora' fuori Europa, fasce di dimensione (stime mie, popolazione da compilare con fonte).</t>
        </is>
      </c>
    </row>
    <row r="21" ht="15" customHeight="1" s="1">
      <c r="A21" s="3" t="inlineStr">
        <is>
          <t>La riga con ID 'EXAMPLE' in Signals mostra solo il formato: va cancellata prima di usare la scheda.</t>
        </is>
      </c>
    </row>
    <row r="22" ht="15" customHeight="1" s="1">
      <c r="A22" s="3" t="n"/>
    </row>
    <row r="23" ht="15" customHeight="1" s="1">
      <c r="A23" s="3" t="inlineStr">
        <is>
          <t>Colori: intestazioni blu scuro; celle azzurre = formule (non toccare); riga grigia = esempio.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6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640625" defaultRowHeight="14.4"/>
  <cols>
    <col width="14" customWidth="1" style="1" min="1" max="1"/>
    <col width="24" customWidth="1" style="1" min="2" max="3"/>
    <col width="20" customWidth="1" style="1" min="4" max="4"/>
    <col width="14" customWidth="1" style="1" min="5" max="5"/>
    <col width="12" customWidth="1" style="1" min="6" max="6"/>
    <col width="16" customWidth="1" style="1" min="7" max="7"/>
    <col width="60" customWidth="1" style="1" min="8" max="8"/>
  </cols>
  <sheetData>
    <row r="1" ht="30" customHeight="1" s="1">
      <c r="A1" s="5" t="inlineStr">
        <is>
          <t>disc_id</t>
        </is>
      </c>
      <c r="B1" s="5" t="inlineStr">
        <is>
          <t>family (level 1)</t>
        </is>
      </c>
      <c r="C1" s="5" t="inlineStr">
        <is>
          <t>discipline (level 2)</t>
        </is>
      </c>
      <c r="D1" s="5" t="inlineStr">
        <is>
          <t>sub-style (level 3)</t>
        </is>
      </c>
      <c r="E1" s="5" t="inlineStr">
        <is>
          <t>pilot (Y/N/Proposed)</t>
        </is>
      </c>
      <c r="F1" s="5" t="inlineStr">
        <is>
          <t>adjacent (Y/N)</t>
        </is>
      </c>
      <c r="G1" s="5" t="inlineStr">
        <is>
          <t>red_bull_reference (Y/N/?)</t>
        </is>
      </c>
      <c r="H1" s="5" t="inlineStr">
        <is>
          <t>notes</t>
        </is>
      </c>
    </row>
    <row r="2" ht="15" customHeight="1" s="1">
      <c r="A2" s="3" t="inlineStr">
        <is>
          <t>URB-BRK</t>
        </is>
      </c>
      <c r="B2" s="3" t="inlineStr">
        <is>
          <t>Urban / street</t>
        </is>
      </c>
      <c r="C2" s="3" t="inlineStr">
        <is>
          <t>Breaking</t>
        </is>
      </c>
      <c r="D2" s="3" t="n"/>
      <c r="E2" s="3" t="inlineStr">
        <is>
          <t>Y</t>
        </is>
      </c>
      <c r="F2" s="3" t="inlineStr">
        <is>
          <t>N</t>
        </is>
      </c>
      <c r="G2" s="3" t="inlineStr">
        <is>
          <t>Y</t>
        </is>
      </c>
      <c r="H2" s="3" t="inlineStr">
        <is>
          <t>Reference: Red Bull BC One</t>
        </is>
      </c>
    </row>
    <row r="3" ht="15" customHeight="1" s="1">
      <c r="A3" s="3" t="inlineStr">
        <is>
          <t>URB-HIP</t>
        </is>
      </c>
      <c r="B3" s="3" t="inlineStr">
        <is>
          <t>Urban / street</t>
        </is>
      </c>
      <c r="C3" s="3" t="inlineStr">
        <is>
          <t>Hip hop</t>
        </is>
      </c>
      <c r="D3" s="3" t="n"/>
      <c r="E3" s="3" t="inlineStr">
        <is>
          <t>Y</t>
        </is>
      </c>
      <c r="F3" s="3" t="inlineStr">
        <is>
          <t>N</t>
        </is>
      </c>
      <c r="G3" s="3" t="inlineStr">
        <is>
          <t>Y</t>
        </is>
      </c>
      <c r="H3" s="3" t="inlineStr">
        <is>
          <t>Reference: Red Bull Dance Your Style (mixed street styles)</t>
        </is>
      </c>
    </row>
    <row r="4" ht="15" customHeight="1" s="1">
      <c r="A4" s="3" t="inlineStr">
        <is>
          <t>URB-MIX</t>
        </is>
      </c>
      <c r="B4" s="3" t="inlineStr">
        <is>
          <t>Urban / street</t>
        </is>
      </c>
      <c r="C4" s="3" t="inlineStr">
        <is>
          <t>Mixed-style street dance</t>
        </is>
      </c>
      <c r="D4" s="3" t="inlineStr">
        <is>
          <t>all-style</t>
        </is>
      </c>
      <c r="E4" s="3" t="inlineStr">
        <is>
          <t>N</t>
        </is>
      </c>
      <c r="F4" s="3" t="inlineStr">
        <is>
          <t>N</t>
        </is>
      </c>
      <c r="G4" s="3" t="inlineStr">
        <is>
          <t>Y</t>
        </is>
      </c>
      <c r="H4" s="3" t="inlineStr">
        <is>
          <t>Format label used by Dance Your Style; not a style of its own</t>
        </is>
      </c>
    </row>
    <row r="5" ht="15" customHeight="1" s="1">
      <c r="A5" s="3" t="inlineStr">
        <is>
          <t>URB-HOU</t>
        </is>
      </c>
      <c r="B5" s="3" t="inlineStr">
        <is>
          <t>Urban / street</t>
        </is>
      </c>
      <c r="C5" s="3" t="inlineStr">
        <is>
          <t>House</t>
        </is>
      </c>
      <c r="D5" s="3" t="n"/>
      <c r="E5" s="3" t="inlineStr">
        <is>
          <t>N</t>
        </is>
      </c>
      <c r="F5" s="3" t="inlineStr">
        <is>
          <t>N</t>
        </is>
      </c>
      <c r="G5" s="3" t="inlineStr">
        <is>
          <t>?</t>
        </is>
      </c>
      <c r="H5" s="3" t="n"/>
    </row>
    <row r="6" ht="15" customHeight="1" s="1">
      <c r="A6" s="3" t="inlineStr">
        <is>
          <t>URB-POP</t>
        </is>
      </c>
      <c r="B6" s="3" t="inlineStr">
        <is>
          <t>Urban / street</t>
        </is>
      </c>
      <c r="C6" s="3" t="inlineStr">
        <is>
          <t>Popping</t>
        </is>
      </c>
      <c r="D6" s="3" t="n"/>
      <c r="E6" s="3" t="inlineStr">
        <is>
          <t>N</t>
        </is>
      </c>
      <c r="F6" s="3" t="inlineStr">
        <is>
          <t>N</t>
        </is>
      </c>
      <c r="G6" s="3" t="inlineStr">
        <is>
          <t>?</t>
        </is>
      </c>
      <c r="H6" s="3" t="n"/>
    </row>
    <row r="7" ht="15" customHeight="1" s="1">
      <c r="A7" s="3" t="inlineStr">
        <is>
          <t>URB-LOC</t>
        </is>
      </c>
      <c r="B7" s="3" t="inlineStr">
        <is>
          <t>Urban / street</t>
        </is>
      </c>
      <c r="C7" s="3" t="inlineStr">
        <is>
          <t>Locking</t>
        </is>
      </c>
      <c r="D7" s="3" t="n"/>
      <c r="E7" s="3" t="inlineStr">
        <is>
          <t>N</t>
        </is>
      </c>
      <c r="F7" s="3" t="inlineStr">
        <is>
          <t>N</t>
        </is>
      </c>
      <c r="G7" s="3" t="inlineStr">
        <is>
          <t>?</t>
        </is>
      </c>
      <c r="H7" s="3" t="n"/>
    </row>
    <row r="8" ht="15" customHeight="1" s="1">
      <c r="A8" s="3" t="inlineStr">
        <is>
          <t>URB-KRU</t>
        </is>
      </c>
      <c r="B8" s="3" t="inlineStr">
        <is>
          <t>Urban / street</t>
        </is>
      </c>
      <c r="C8" s="3" t="inlineStr">
        <is>
          <t>Krump</t>
        </is>
      </c>
      <c r="D8" s="3" t="n"/>
      <c r="E8" s="3" t="inlineStr">
        <is>
          <t>N</t>
        </is>
      </c>
      <c r="F8" s="3" t="inlineStr">
        <is>
          <t>N</t>
        </is>
      </c>
      <c r="G8" s="3" t="inlineStr">
        <is>
          <t>?</t>
        </is>
      </c>
      <c r="H8" s="3" t="n"/>
    </row>
    <row r="9" ht="15" customHeight="1" s="1">
      <c r="A9" s="3" t="inlineStr">
        <is>
          <t>CAR-SAL</t>
        </is>
      </c>
      <c r="B9" s="3" t="inlineStr">
        <is>
          <t>Latin / Caribbean</t>
        </is>
      </c>
      <c r="C9" s="3" t="inlineStr">
        <is>
          <t>Salsa</t>
        </is>
      </c>
      <c r="D9" s="3" t="inlineStr">
        <is>
          <t>all sub-styles</t>
        </is>
      </c>
      <c r="E9" s="3" t="inlineStr">
        <is>
          <t>Y</t>
        </is>
      </c>
      <c r="F9" s="3" t="inlineStr">
        <is>
          <t>N</t>
        </is>
      </c>
      <c r="G9" s="3" t="inlineStr">
        <is>
          <t>?</t>
        </is>
      </c>
      <c r="H9" s="3" t="inlineStr">
        <is>
          <t>Pilot discipline; sub-styles below</t>
        </is>
      </c>
    </row>
    <row r="10" ht="15" customHeight="1" s="1">
      <c r="A10" s="3" t="inlineStr">
        <is>
          <t>CAR-SAL-CUB</t>
        </is>
      </c>
      <c r="B10" s="3" t="inlineStr">
        <is>
          <t>Latin / Caribbean</t>
        </is>
      </c>
      <c r="C10" s="3" t="inlineStr">
        <is>
          <t>Salsa</t>
        </is>
      </c>
      <c r="D10" s="3" t="inlineStr">
        <is>
          <t>Cuban (casino)</t>
        </is>
      </c>
      <c r="E10" s="3" t="inlineStr">
        <is>
          <t>N</t>
        </is>
      </c>
      <c r="F10" s="3" t="inlineStr">
        <is>
          <t>N</t>
        </is>
      </c>
      <c r="G10" s="3" t="inlineStr">
        <is>
          <t>?</t>
        </is>
      </c>
      <c r="H10" s="3" t="inlineStr">
        <is>
          <t>Record only where the city scene differs</t>
        </is>
      </c>
    </row>
    <row r="11" ht="15" customHeight="1" s="1">
      <c r="A11" s="3" t="inlineStr">
        <is>
          <t>CAR-SAL-LA</t>
        </is>
      </c>
      <c r="B11" s="3" t="inlineStr">
        <is>
          <t>Latin / Caribbean</t>
        </is>
      </c>
      <c r="C11" s="3" t="inlineStr">
        <is>
          <t>Salsa</t>
        </is>
      </c>
      <c r="D11" s="3" t="inlineStr">
        <is>
          <t>LA style</t>
        </is>
      </c>
      <c r="E11" s="3" t="inlineStr">
        <is>
          <t>N</t>
        </is>
      </c>
      <c r="F11" s="3" t="inlineStr">
        <is>
          <t>N</t>
        </is>
      </c>
      <c r="G11" s="3" t="inlineStr">
        <is>
          <t>?</t>
        </is>
      </c>
      <c r="H11" s="3" t="n"/>
    </row>
    <row r="12" ht="15" customHeight="1" s="1">
      <c r="A12" s="3" t="inlineStr">
        <is>
          <t>CAR-SAL-NY</t>
        </is>
      </c>
      <c r="B12" s="3" t="inlineStr">
        <is>
          <t>Latin / Caribbean</t>
        </is>
      </c>
      <c r="C12" s="3" t="inlineStr">
        <is>
          <t>Salsa</t>
        </is>
      </c>
      <c r="D12" s="3" t="inlineStr">
        <is>
          <t>New York (on2)</t>
        </is>
      </c>
      <c r="E12" s="3" t="inlineStr">
        <is>
          <t>N</t>
        </is>
      </c>
      <c r="F12" s="3" t="inlineStr">
        <is>
          <t>N</t>
        </is>
      </c>
      <c r="G12" s="3" t="inlineStr">
        <is>
          <t>?</t>
        </is>
      </c>
      <c r="H12" s="3" t="n"/>
    </row>
    <row r="13" ht="15" customHeight="1" s="1">
      <c r="A13" s="3" t="inlineStr">
        <is>
          <t>CAR-SAL-PR</t>
        </is>
      </c>
      <c r="B13" s="3" t="inlineStr">
        <is>
          <t>Latin / Caribbean</t>
        </is>
      </c>
      <c r="C13" s="3" t="inlineStr">
        <is>
          <t>Salsa</t>
        </is>
      </c>
      <c r="D13" s="3" t="inlineStr">
        <is>
          <t>Puerto Rican</t>
        </is>
      </c>
      <c r="E13" s="3" t="inlineStr">
        <is>
          <t>N</t>
        </is>
      </c>
      <c r="F13" s="3" t="inlineStr">
        <is>
          <t>N</t>
        </is>
      </c>
      <c r="G13" s="3" t="inlineStr">
        <is>
          <t>?</t>
        </is>
      </c>
      <c r="H13" s="3" t="n"/>
    </row>
    <row r="14" ht="15" customHeight="1" s="1">
      <c r="A14" s="3" t="inlineStr">
        <is>
          <t>CAR-BCH</t>
        </is>
      </c>
      <c r="B14" s="3" t="inlineStr">
        <is>
          <t>Latin / Caribbean</t>
        </is>
      </c>
      <c r="C14" s="3" t="inlineStr">
        <is>
          <t>Bachata</t>
        </is>
      </c>
      <c r="D14" s="3" t="inlineStr">
        <is>
          <t>all sub-styles</t>
        </is>
      </c>
      <c r="E14" s="3" t="inlineStr">
        <is>
          <t>Y</t>
        </is>
      </c>
      <c r="F14" s="3" t="inlineStr">
        <is>
          <t>N</t>
        </is>
      </c>
      <c r="G14" s="3" t="inlineStr">
        <is>
          <t>?</t>
        </is>
      </c>
      <c r="H14" s="3" t="inlineStr">
        <is>
          <t>Pilot discipline</t>
        </is>
      </c>
    </row>
    <row r="15" ht="15" customHeight="1" s="1">
      <c r="A15" s="3" t="inlineStr">
        <is>
          <t>CAR-BCH-DOM</t>
        </is>
      </c>
      <c r="B15" s="3" t="inlineStr">
        <is>
          <t>Latin / Caribbean</t>
        </is>
      </c>
      <c r="C15" s="3" t="inlineStr">
        <is>
          <t>Bachata</t>
        </is>
      </c>
      <c r="D15" s="3" t="inlineStr">
        <is>
          <t>Dominican</t>
        </is>
      </c>
      <c r="E15" s="3" t="inlineStr">
        <is>
          <t>N</t>
        </is>
      </c>
      <c r="F15" s="3" t="inlineStr">
        <is>
          <t>N</t>
        </is>
      </c>
      <c r="G15" s="3" t="inlineStr">
        <is>
          <t>?</t>
        </is>
      </c>
      <c r="H15" s="3" t="n"/>
    </row>
    <row r="16" ht="15" customHeight="1" s="1">
      <c r="A16" s="3" t="inlineStr">
        <is>
          <t>CAR-BCH-SEN</t>
        </is>
      </c>
      <c r="B16" s="3" t="inlineStr">
        <is>
          <t>Latin / Caribbean</t>
        </is>
      </c>
      <c r="C16" s="3" t="inlineStr">
        <is>
          <t>Bachata</t>
        </is>
      </c>
      <c r="D16" s="3" t="inlineStr">
        <is>
          <t>Sensual / moderna</t>
        </is>
      </c>
      <c r="E16" s="3" t="inlineStr">
        <is>
          <t>N</t>
        </is>
      </c>
      <c r="F16" s="3" t="inlineStr">
        <is>
          <t>N</t>
        </is>
      </c>
      <c r="G16" s="3" t="inlineStr">
        <is>
          <t>?</t>
        </is>
      </c>
      <c r="H16" s="3" t="n"/>
    </row>
    <row r="17" ht="15" customHeight="1" s="1">
      <c r="A17" s="3" t="inlineStr">
        <is>
          <t>CAR-MER</t>
        </is>
      </c>
      <c r="B17" s="3" t="inlineStr">
        <is>
          <t>Latin / Caribbean</t>
        </is>
      </c>
      <c r="C17" s="3" t="inlineStr">
        <is>
          <t>Merengue</t>
        </is>
      </c>
      <c r="D17" s="3" t="n"/>
      <c r="E17" s="3" t="inlineStr">
        <is>
          <t>N</t>
        </is>
      </c>
      <c r="F17" s="3" t="inlineStr">
        <is>
          <t>N</t>
        </is>
      </c>
      <c r="G17" s="3" t="inlineStr">
        <is>
          <t>?</t>
        </is>
      </c>
      <c r="H17" s="3" t="n"/>
    </row>
    <row r="18" ht="15" customHeight="1" s="1">
      <c r="A18" s="3" t="inlineStr">
        <is>
          <t>CAR-DHL</t>
        </is>
      </c>
      <c r="B18" s="3" t="inlineStr">
        <is>
          <t>Latin / Caribbean</t>
        </is>
      </c>
      <c r="C18" s="3" t="inlineStr">
        <is>
          <t>Dancehall</t>
        </is>
      </c>
      <c r="D18" s="3" t="n"/>
      <c r="E18" s="3" t="inlineStr">
        <is>
          <t>N</t>
        </is>
      </c>
      <c r="F18" s="3" t="inlineStr">
        <is>
          <t>N</t>
        </is>
      </c>
      <c r="G18" s="3" t="inlineStr">
        <is>
          <t>?</t>
        </is>
      </c>
      <c r="H18" s="3" t="inlineStr">
        <is>
          <t>Jamaican; family to be confirmed</t>
        </is>
      </c>
    </row>
    <row r="19" ht="15" customHeight="1" s="1">
      <c r="A19" s="3" t="inlineStr">
        <is>
          <t>AFR-KIZ</t>
        </is>
      </c>
      <c r="B19" s="3" t="inlineStr">
        <is>
          <t>Afro-Latin</t>
        </is>
      </c>
      <c r="C19" s="3" t="inlineStr">
        <is>
          <t>Kizomba</t>
        </is>
      </c>
      <c r="D19" s="3" t="n"/>
      <c r="E19" s="3" t="inlineStr">
        <is>
          <t>N</t>
        </is>
      </c>
      <c r="F19" s="3" t="inlineStr">
        <is>
          <t>N</t>
        </is>
      </c>
      <c r="G19" s="3" t="inlineStr">
        <is>
          <t>?</t>
        </is>
      </c>
      <c r="H19" s="3" t="inlineStr">
        <is>
          <t>Family to be confirmed</t>
        </is>
      </c>
    </row>
    <row r="20" ht="15" customHeight="1" s="1">
      <c r="A20" s="3" t="inlineStr">
        <is>
          <t>ACR-TRK</t>
        </is>
      </c>
      <c r="B20" s="3" t="inlineStr">
        <is>
          <t>Acrobatic / show-off</t>
        </is>
      </c>
      <c r="C20" s="3" t="inlineStr">
        <is>
          <t>Tricking</t>
        </is>
      </c>
      <c r="D20" s="3" t="n"/>
      <c r="E20" s="3" t="inlineStr">
        <is>
          <t>Proposed</t>
        </is>
      </c>
      <c r="F20" s="3" t="inlineStr">
        <is>
          <t>Y</t>
        </is>
      </c>
      <c r="G20" s="3" t="inlineStr">
        <is>
          <t>?</t>
        </is>
      </c>
      <c r="H20" s="3" t="inlineStr">
        <is>
          <t>Third pilot discipline proposed; example event: Hooked (Amsterdam)</t>
        </is>
      </c>
    </row>
    <row r="21" ht="15" customHeight="1" s="1">
      <c r="A21" s="3" t="inlineStr">
        <is>
          <t>ACR-AER</t>
        </is>
      </c>
      <c r="B21" s="3" t="inlineStr">
        <is>
          <t>Acrobatic / show-off</t>
        </is>
      </c>
      <c r="C21" s="3" t="inlineStr">
        <is>
          <t>Aerial</t>
        </is>
      </c>
      <c r="D21" s="3" t="n"/>
      <c r="E21" s="3" t="inlineStr">
        <is>
          <t>N</t>
        </is>
      </c>
      <c r="F21" s="3" t="inlineStr">
        <is>
          <t>Y</t>
        </is>
      </c>
      <c r="G21" s="3" t="inlineStr">
        <is>
          <t>?</t>
        </is>
      </c>
      <c r="H21" s="3" t="n"/>
    </row>
    <row r="22" ht="15" customHeight="1" s="1">
      <c r="A22" s="3" t="inlineStr">
        <is>
          <t>ACR-POL</t>
        </is>
      </c>
      <c r="B22" s="3" t="inlineStr">
        <is>
          <t>Acrobatic / show-off</t>
        </is>
      </c>
      <c r="C22" s="3" t="inlineStr">
        <is>
          <t>Pole</t>
        </is>
      </c>
      <c r="D22" s="3" t="n"/>
      <c r="E22" s="3" t="inlineStr">
        <is>
          <t>N</t>
        </is>
      </c>
      <c r="F22" s="3" t="inlineStr">
        <is>
          <t>Y</t>
        </is>
      </c>
      <c r="G22" s="3" t="inlineStr">
        <is>
          <t>?</t>
        </is>
      </c>
      <c r="H22" s="3" t="n"/>
    </row>
    <row r="23" ht="15" customHeight="1" s="1">
      <c r="A23" s="3" t="inlineStr">
        <is>
          <t>BAL-STD</t>
        </is>
      </c>
      <c r="B23" s="3" t="inlineStr">
        <is>
          <t>Ballroom / dancesport</t>
        </is>
      </c>
      <c r="C23" s="3" t="inlineStr">
        <is>
          <t>Standard</t>
        </is>
      </c>
      <c r="D23" s="3" t="n"/>
      <c r="E23" s="3" t="inlineStr">
        <is>
          <t>N</t>
        </is>
      </c>
      <c r="F23" s="3" t="inlineStr">
        <is>
          <t>N</t>
        </is>
      </c>
      <c r="G23" s="3" t="inlineStr">
        <is>
          <t>?</t>
        </is>
      </c>
      <c r="H23" s="3" t="n"/>
    </row>
    <row r="24" ht="15" customHeight="1" s="1">
      <c r="A24" s="3" t="inlineStr">
        <is>
          <t>BAL-LAT</t>
        </is>
      </c>
      <c r="B24" s="3" t="inlineStr">
        <is>
          <t>Ballroom / dancesport</t>
        </is>
      </c>
      <c r="C24" s="3" t="inlineStr">
        <is>
          <t>Latin dancesport</t>
        </is>
      </c>
      <c r="D24" s="3" t="n"/>
      <c r="E24" s="3" t="inlineStr">
        <is>
          <t>N</t>
        </is>
      </c>
      <c r="F24" s="3" t="inlineStr">
        <is>
          <t>N</t>
        </is>
      </c>
      <c r="G24" s="3" t="inlineStr">
        <is>
          <t>?</t>
        </is>
      </c>
      <c r="H24" s="3" t="inlineStr">
        <is>
          <t>Competition format; different scene from social Latin</t>
        </is>
      </c>
    </row>
    <row r="25" ht="15" customHeight="1" s="1">
      <c r="A25" s="3" t="inlineStr">
        <is>
          <t>CON-CON</t>
        </is>
      </c>
      <c r="B25" s="3" t="inlineStr">
        <is>
          <t>Contemporary / classical</t>
        </is>
      </c>
      <c r="C25" s="3" t="inlineStr">
        <is>
          <t>Contemporary</t>
        </is>
      </c>
      <c r="D25" s="3" t="n"/>
      <c r="E25" s="3" t="inlineStr">
        <is>
          <t>N</t>
        </is>
      </c>
      <c r="F25" s="3" t="inlineStr">
        <is>
          <t>N</t>
        </is>
      </c>
      <c r="G25" s="3" t="inlineStr">
        <is>
          <t>?</t>
        </is>
      </c>
      <c r="H25" s="3" t="n"/>
    </row>
    <row r="26" ht="15" customHeight="1" s="1">
      <c r="A26" s="3" t="inlineStr">
        <is>
          <t>CON-BAL</t>
        </is>
      </c>
      <c r="B26" s="3" t="inlineStr">
        <is>
          <t>Contemporary / classical</t>
        </is>
      </c>
      <c r="C26" s="3" t="inlineStr">
        <is>
          <t>Ballet</t>
        </is>
      </c>
      <c r="D26" s="3" t="n"/>
      <c r="E26" s="3" t="inlineStr">
        <is>
          <t>N</t>
        </is>
      </c>
      <c r="F26" s="3" t="inlineStr">
        <is>
          <t>N</t>
        </is>
      </c>
      <c r="G26" s="3" t="inlineStr">
        <is>
          <t>?</t>
        </is>
      </c>
      <c r="H26" s="3" t="n"/>
    </row>
  </sheetData>
  <autoFilter ref="A1:H26"/>
  <dataValidations count="3">
    <dataValidation sqref="E2:E1026" showDropDown="0" showInputMessage="0" showErrorMessage="0" allowBlank="1" type="list">
      <formula1>"Y,N,Proposed"</formula1>
      <formula2>0</formula2>
    </dataValidation>
    <dataValidation sqref="F2:F1026" showDropDown="0" showInputMessage="0" showErrorMessage="0" allowBlank="1" type="list">
      <formula1>"Y,N"</formula1>
      <formula2>0</formula2>
    </dataValidation>
    <dataValidation sqref="G2:G1026" showDropDown="0" showInputMessage="0" showErrorMessage="0" allowBlank="1" type="list">
      <formula1>"Y,N,?"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640625" defaultRowHeight="14.4"/>
  <cols>
    <col width="9" customWidth="1" style="1" min="1" max="1"/>
    <col width="14" customWidth="1" style="1" min="2" max="3"/>
    <col width="16" customWidth="1" style="1" min="4" max="5"/>
    <col width="14" customWidth="1" style="1" min="6" max="6"/>
    <col width="24" customWidth="1" style="1" min="7" max="7"/>
    <col width="9" customWidth="1" style="1" min="8" max="9"/>
    <col width="55" customWidth="1" style="1" min="10" max="10"/>
    <col width="40" customWidth="1" style="1" min="11" max="11"/>
  </cols>
  <sheetData>
    <row r="1" ht="30" customHeight="1" s="1">
      <c r="A1" s="5" t="inlineStr">
        <is>
          <t>city_id</t>
        </is>
      </c>
      <c r="B1" s="5" t="inlineStr">
        <is>
          <t>city</t>
        </is>
      </c>
      <c r="C1" s="5" t="inlineStr">
        <is>
          <t>country</t>
        </is>
      </c>
      <c r="D1" s="5" t="inlineStr">
        <is>
          <t>status (core/reserve/anchor)</t>
        </is>
      </c>
      <c r="E1" s="5" t="inlineStr">
        <is>
          <t>size_tier_estimate (S/M/L/XL)</t>
        </is>
      </c>
      <c r="F1" s="5" t="inlineStr">
        <is>
          <t>population (fill)</t>
        </is>
      </c>
      <c r="G1" s="5" t="inlineStr">
        <is>
          <t>population_source</t>
        </is>
      </c>
      <c r="H1" s="5" t="inlineStr">
        <is>
          <t>lat</t>
        </is>
      </c>
      <c r="I1" s="5" t="inlineStr">
        <is>
          <t>lon</t>
        </is>
      </c>
      <c r="J1" s="5" t="inlineStr">
        <is>
          <t>why_included</t>
        </is>
      </c>
      <c r="K1" s="5" t="inlineStr">
        <is>
          <t>notes</t>
        </is>
      </c>
    </row>
    <row r="2" ht="15" customHeight="1" s="1">
      <c r="A2" s="3" t="inlineStr">
        <is>
          <t>SBG</t>
        </is>
      </c>
      <c r="B2" s="3" t="inlineStr">
        <is>
          <t>Salzburg</t>
        </is>
      </c>
      <c r="C2" s="3" t="inlineStr">
        <is>
          <t>Austria</t>
        </is>
      </c>
      <c r="D2" s="3" t="inlineStr">
        <is>
          <t>core</t>
        </is>
      </c>
      <c r="E2" s="3" t="inlineStr">
        <is>
          <t>S</t>
        </is>
      </c>
      <c r="F2" s="3" t="n"/>
      <c r="G2" s="3" t="n"/>
      <c r="H2" s="3" t="n">
        <v>47.8</v>
      </c>
      <c r="I2" s="3" t="n">
        <v>13.04</v>
      </c>
      <c r="J2" s="3" t="inlineStr">
        <is>
          <t>Home city, small; Dance Your Style qualifier 2026</t>
        </is>
      </c>
      <c r="K2" s="3" t="inlineStr">
        <is>
          <t>Ground truth: checkable on site</t>
        </is>
      </c>
    </row>
    <row r="3" ht="15" customHeight="1" s="1">
      <c r="A3" s="3" t="inlineStr">
        <is>
          <t>INN</t>
        </is>
      </c>
      <c r="B3" s="3" t="inlineStr">
        <is>
          <t>Innsbruck</t>
        </is>
      </c>
      <c r="C3" s="3" t="inlineStr">
        <is>
          <t>Austria</t>
        </is>
      </c>
      <c r="D3" s="3" t="inlineStr">
        <is>
          <t>core</t>
        </is>
      </c>
      <c r="E3" s="3" t="inlineStr">
        <is>
          <t>S</t>
        </is>
      </c>
      <c r="F3" s="3" t="n"/>
      <c r="G3" s="3" t="n"/>
      <c r="H3" s="3" t="n">
        <v>47.27</v>
      </c>
      <c r="I3" s="3" t="n">
        <v>11.39</v>
      </c>
      <c r="J3" s="3" t="inlineStr">
        <is>
          <t>Small; BC One cypher 2026</t>
        </is>
      </c>
      <c r="K3" s="3" t="n"/>
    </row>
    <row r="4" ht="15" customHeight="1" s="1">
      <c r="A4" s="3" t="inlineStr">
        <is>
          <t>VIE</t>
        </is>
      </c>
      <c r="B4" s="3" t="inlineStr">
        <is>
          <t>Vienna</t>
        </is>
      </c>
      <c r="C4" s="3" t="inlineStr">
        <is>
          <t>Austria</t>
        </is>
      </c>
      <c r="D4" s="3" t="inlineStr">
        <is>
          <t>core</t>
        </is>
      </c>
      <c r="E4" s="3" t="inlineStr">
        <is>
          <t>L</t>
        </is>
      </c>
      <c r="F4" s="3" t="n"/>
      <c r="G4" s="3" t="n"/>
      <c r="H4" s="3" t="n">
        <v>48.21</v>
      </c>
      <c r="I4" s="3" t="n">
        <v>16.37</v>
      </c>
      <c r="J4" s="3" t="inlineStr">
        <is>
          <t>Large; Dance Your Style national final 2026</t>
        </is>
      </c>
      <c r="K4" s="3" t="n"/>
    </row>
    <row r="5" ht="15" customHeight="1" s="1">
      <c r="A5" s="3" t="inlineStr">
        <is>
          <t>MUC</t>
        </is>
      </c>
      <c r="B5" s="3" t="inlineStr">
        <is>
          <t>Munich</t>
        </is>
      </c>
      <c r="C5" s="3" t="inlineStr">
        <is>
          <t>Germany</t>
        </is>
      </c>
      <c r="D5" s="3" t="inlineStr">
        <is>
          <t>core</t>
        </is>
      </c>
      <c r="E5" s="3" t="inlineStr">
        <is>
          <t>L</t>
        </is>
      </c>
      <c r="F5" s="3" t="n"/>
      <c r="G5" s="3" t="n"/>
      <c r="H5" s="3" t="n">
        <v>48.14</v>
      </c>
      <c r="I5" s="3" t="n">
        <v>11.58</v>
      </c>
      <c r="J5" s="3" t="inlineStr">
        <is>
          <t>Large, German-speaking; Red Bull footprint to check</t>
        </is>
      </c>
      <c r="K5" s="3" t="n"/>
    </row>
    <row r="6" ht="15" customHeight="1" s="1">
      <c r="A6" s="3" t="inlineStr">
        <is>
          <t>MIL</t>
        </is>
      </c>
      <c r="B6" s="3" t="inlineStr">
        <is>
          <t>Milan</t>
        </is>
      </c>
      <c r="C6" s="3" t="inlineStr">
        <is>
          <t>Italy</t>
        </is>
      </c>
      <c r="D6" s="3" t="inlineStr">
        <is>
          <t>core</t>
        </is>
      </c>
      <c r="E6" s="3" t="inlineStr">
        <is>
          <t>L</t>
        </is>
      </c>
      <c r="F6" s="3" t="n"/>
      <c r="G6" s="3" t="n"/>
      <c r="H6" s="3" t="n">
        <v>45.46</v>
      </c>
      <c r="I6" s="3" t="n">
        <v>9.19</v>
      </c>
      <c r="J6" s="3" t="inlineStr">
        <is>
          <t>Large, Italian scene; Red Bull footprint to check</t>
        </is>
      </c>
      <c r="K6" s="3" t="n"/>
    </row>
    <row r="7" ht="23.85" customHeight="1" s="1">
      <c r="A7" s="3" t="inlineStr">
        <is>
          <t>BCN</t>
        </is>
      </c>
      <c r="B7" s="3" t="inlineStr">
        <is>
          <t>Barcelona</t>
        </is>
      </c>
      <c r="C7" s="3" t="inlineStr">
        <is>
          <t>Spain</t>
        </is>
      </c>
      <c r="D7" s="3" t="inlineStr">
        <is>
          <t>core</t>
        </is>
      </c>
      <c r="E7" s="3" t="inlineStr">
        <is>
          <t>L</t>
        </is>
      </c>
      <c r="F7" s="3" t="n"/>
      <c r="G7" s="3" t="n"/>
      <c r="H7" s="3" t="n">
        <v>41.39</v>
      </c>
      <c r="I7" s="3" t="n">
        <v>2.17</v>
      </c>
      <c r="J7" s="3" t="inlineStr">
        <is>
          <t>Large; strong Latin scene expected (to verify); Red Bull footprint to check</t>
        </is>
      </c>
      <c r="K7" s="3" t="n"/>
    </row>
    <row r="8" ht="15" customHeight="1" s="1">
      <c r="A8" s="3" t="inlineStr">
        <is>
          <t>AMS</t>
        </is>
      </c>
      <c r="B8" s="3" t="inlineStr">
        <is>
          <t>Amsterdam</t>
        </is>
      </c>
      <c r="C8" s="3" t="inlineStr">
        <is>
          <t>Netherlands</t>
        </is>
      </c>
      <c r="D8" s="3" t="inlineStr">
        <is>
          <t>core</t>
        </is>
      </c>
      <c r="E8" s="3" t="inlineStr">
        <is>
          <t>M</t>
        </is>
      </c>
      <c r="F8" s="3" t="n"/>
      <c r="G8" s="3" t="n"/>
      <c r="H8" s="3" t="n">
        <v>52.37</v>
      </c>
      <c r="I8" s="3" t="n">
        <v>4.9</v>
      </c>
      <c r="J8" s="3" t="inlineStr">
        <is>
          <t>Medium; Hooked tricking tournament</t>
        </is>
      </c>
      <c r="K8" s="3" t="inlineStr">
        <is>
          <t>Rotterdam (BC One cypher 2026) is nearby</t>
        </is>
      </c>
    </row>
    <row r="9" ht="15" customHeight="1" s="1">
      <c r="A9" s="3" t="inlineStr">
        <is>
          <t>BER</t>
        </is>
      </c>
      <c r="B9" s="3" t="inlineStr">
        <is>
          <t>Berlin</t>
        </is>
      </c>
      <c r="C9" s="3" t="inlineStr">
        <is>
          <t>Germany</t>
        </is>
      </c>
      <c r="D9" s="3" t="inlineStr">
        <is>
          <t>core</t>
        </is>
      </c>
      <c r="E9" s="3" t="inlineStr">
        <is>
          <t>XL</t>
        </is>
      </c>
      <c r="F9" s="3" t="n"/>
      <c r="G9" s="3" t="n"/>
      <c r="H9" s="3" t="n">
        <v>52.52</v>
      </c>
      <c r="I9" s="3" t="n">
        <v>13.4</v>
      </c>
      <c r="J9" s="3" t="inlineStr">
        <is>
          <t>Very large; BC One cypher 2026</t>
        </is>
      </c>
      <c r="K9" s="3" t="n"/>
    </row>
    <row r="10" ht="15" customHeight="1" s="1">
      <c r="A10" s="3" t="inlineStr">
        <is>
          <t>GRZ</t>
        </is>
      </c>
      <c r="B10" s="3" t="inlineStr">
        <is>
          <t>Graz</t>
        </is>
      </c>
      <c r="C10" s="3" t="inlineStr">
        <is>
          <t>Austria</t>
        </is>
      </c>
      <c r="D10" s="3" t="inlineStr">
        <is>
          <t>reserve</t>
        </is>
      </c>
      <c r="E10" s="3" t="inlineStr">
        <is>
          <t>M</t>
        </is>
      </c>
      <c r="F10" s="3" t="n"/>
      <c r="G10" s="3" t="n"/>
      <c r="H10" s="3" t="n">
        <v>47.07</v>
      </c>
      <c r="I10" s="3" t="n">
        <v>15.44</v>
      </c>
      <c r="J10" s="3" t="inlineStr">
        <is>
          <t>Medium Austrian city</t>
        </is>
      </c>
      <c r="K10" s="3" t="n"/>
    </row>
    <row r="11" ht="15" customHeight="1" s="1">
      <c r="A11" s="3" t="inlineStr">
        <is>
          <t>MAD</t>
        </is>
      </c>
      <c r="B11" s="3" t="inlineStr">
        <is>
          <t>Madrid</t>
        </is>
      </c>
      <c r="C11" s="3" t="inlineStr">
        <is>
          <t>Spain</t>
        </is>
      </c>
      <c r="D11" s="3" t="inlineStr">
        <is>
          <t>reserve</t>
        </is>
      </c>
      <c r="E11" s="3" t="inlineStr">
        <is>
          <t>XL</t>
        </is>
      </c>
      <c r="F11" s="3" t="n"/>
      <c r="G11" s="3" t="n"/>
      <c r="H11" s="3" t="n">
        <v>40.42</v>
      </c>
      <c r="I11" s="3" t="n">
        <v>-3.7</v>
      </c>
      <c r="J11" s="3" t="inlineStr">
        <is>
          <t>Very large; BC One cypher 2026</t>
        </is>
      </c>
      <c r="K11" s="3" t="n"/>
    </row>
    <row r="12" ht="15" customHeight="1" s="1">
      <c r="A12" s="3" t="inlineStr">
        <is>
          <t>PAR</t>
        </is>
      </c>
      <c r="B12" s="3" t="inlineStr">
        <is>
          <t>Paris</t>
        </is>
      </c>
      <c r="C12" s="3" t="inlineStr">
        <is>
          <t>France</t>
        </is>
      </c>
      <c r="D12" s="3" t="inlineStr">
        <is>
          <t>reserve</t>
        </is>
      </c>
      <c r="E12" s="3" t="inlineStr">
        <is>
          <t>XL</t>
        </is>
      </c>
      <c r="F12" s="3" t="n"/>
      <c r="G12" s="3" t="n"/>
      <c r="H12" s="3" t="n">
        <v>48.86</v>
      </c>
      <c r="I12" s="3" t="n">
        <v>2.35</v>
      </c>
      <c r="J12" s="3" t="inlineStr">
        <is>
          <t>Very large; BC One cypher 2026 in Aubervilliers (Paris area)</t>
        </is>
      </c>
      <c r="K12" s="3" t="inlineStr">
        <is>
          <t>Metro-area handling to decide</t>
        </is>
      </c>
    </row>
    <row r="13" ht="23.85" customHeight="1" s="1">
      <c r="A13" s="3" t="inlineStr">
        <is>
          <t>NYC</t>
        </is>
      </c>
      <c r="B13" s="3" t="inlineStr">
        <is>
          <t>New York</t>
        </is>
      </c>
      <c r="C13" s="3" t="inlineStr">
        <is>
          <t>USA</t>
        </is>
      </c>
      <c r="D13" s="3" t="inlineStr">
        <is>
          <t>anchor</t>
        </is>
      </c>
      <c r="E13" s="3" t="inlineStr">
        <is>
          <t>XL</t>
        </is>
      </c>
      <c r="F13" s="3" t="n"/>
      <c r="G13" s="3" t="n"/>
      <c r="H13" s="3" t="n">
        <v>40.71</v>
      </c>
      <c r="I13" s="3" t="n">
        <v>-74.01000000000001</v>
      </c>
      <c r="J13" s="3" t="inlineStr">
        <is>
          <t>Benchmark for hip hop and New York style salsa; not comparable with Europe</t>
        </is>
      </c>
      <c r="K13" s="3" t="inlineStr">
        <is>
          <t>Anchor: proposal</t>
        </is>
      </c>
    </row>
    <row r="14" ht="15" customHeight="1" s="1">
      <c r="A14" s="3" t="inlineStr">
        <is>
          <t>CLO</t>
        </is>
      </c>
      <c r="B14" s="3" t="inlineStr">
        <is>
          <t>Cali</t>
        </is>
      </c>
      <c r="C14" s="3" t="inlineStr">
        <is>
          <t>Colombia</t>
        </is>
      </c>
      <c r="D14" s="3" t="inlineStr">
        <is>
          <t>anchor</t>
        </is>
      </c>
      <c r="E14" s="3" t="inlineStr">
        <is>
          <t>L</t>
        </is>
      </c>
      <c r="F14" s="3" t="n"/>
      <c r="G14" s="3" t="n"/>
      <c r="H14" s="3" t="n">
        <v>3.45</v>
      </c>
      <c r="I14" s="3" t="n">
        <v>-76.53</v>
      </c>
      <c r="J14" s="3" t="inlineStr">
        <is>
          <t>Benchmark for salsa; not comparable with Europe</t>
        </is>
      </c>
      <c r="K14" s="3" t="inlineStr">
        <is>
          <t>Anchor: proposal</t>
        </is>
      </c>
    </row>
  </sheetData>
  <autoFilter ref="A1:K14"/>
  <dataValidations count="2">
    <dataValidation sqref="D2:D1014" showDropDown="0" showInputMessage="0" showErrorMessage="0" allowBlank="1" type="list">
      <formula1>"core,reserve,anchor"</formula1>
      <formula2>0</formula2>
    </dataValidation>
    <dataValidation sqref="E2:E1014" showDropDown="0" showInputMessage="0" showErrorMessage="0" allowBlank="1" type="list">
      <formula1>"S,M,L,XL"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640625" defaultRowHeight="14.4"/>
  <cols>
    <col width="10" customWidth="1" style="1" min="1" max="1"/>
    <col width="20" customWidth="1" style="1" min="2" max="2"/>
    <col width="60" customWidth="1" style="1" min="3" max="3"/>
    <col width="28" customWidth="1" style="1" min="4" max="5"/>
    <col width="50" customWidth="1" style="1" min="6" max="6"/>
  </cols>
  <sheetData>
    <row r="1" ht="30" customHeight="1" s="1">
      <c r="A1" s="5" t="inlineStr">
        <is>
          <t>signal_id</t>
        </is>
      </c>
      <c r="B1" s="5" t="inlineStr">
        <is>
          <t>signal</t>
        </is>
      </c>
      <c r="C1" s="5" t="inlineStr">
        <is>
          <t>definition</t>
        </is>
      </c>
      <c r="D1" s="5" t="inlineStr">
        <is>
          <t>unit</t>
        </is>
      </c>
      <c r="E1" s="5" t="inlineStr">
        <is>
          <t>score guide</t>
        </is>
      </c>
      <c r="F1" s="5" t="inlineStr">
        <is>
          <t>typical public sources</t>
        </is>
      </c>
    </row>
    <row r="2" ht="23.85" customHeight="1" s="1">
      <c r="A2" s="3" t="inlineStr">
        <is>
          <t>COM</t>
        </is>
      </c>
      <c r="B2" s="3" t="inlineStr">
        <is>
          <t>Community</t>
        </is>
      </c>
      <c r="C2" s="3" t="inlineStr">
        <is>
          <t>How large and active the practising community is (groups, crews, clubs, online communities)</t>
        </is>
      </c>
      <c r="D2" s="3" t="inlineStr">
        <is>
          <t>count + estimated size range</t>
        </is>
      </c>
      <c r="E2" s="3" t="inlineStr">
        <is>
          <t>0-5 relative to city size tier</t>
        </is>
      </c>
      <c r="F2" s="3" t="inlineStr">
        <is>
          <t>Meetup, public group pages, club registries, local associations</t>
        </is>
      </c>
    </row>
    <row r="3" ht="15" customHeight="1" s="1">
      <c r="A3" s="3" t="inlineStr">
        <is>
          <t>SCH</t>
        </is>
      </c>
      <c r="B3" s="3" t="inlineStr">
        <is>
          <t>Schools and classes</t>
        </is>
      </c>
      <c r="C3" s="3" t="inlineStr">
        <is>
          <t>Number of schools/teachers and weekly class slots</t>
        </is>
      </c>
      <c r="D3" s="3" t="inlineStr">
        <is>
          <t>schools; classes per week</t>
        </is>
      </c>
      <c r="E3" s="3" t="inlineStr">
        <is>
          <t>0-5 relative to city size tier</t>
        </is>
      </c>
      <c r="F3" s="3" t="inlineStr">
        <is>
          <t>School websites and timetables, Google Maps listings</t>
        </is>
      </c>
    </row>
    <row r="4" ht="23.85" customHeight="1" s="1">
      <c r="A4" s="3" t="inlineStr">
        <is>
          <t>SPA</t>
        </is>
      </c>
      <c r="B4" s="3" t="inlineStr">
        <is>
          <t>Spaces and venues</t>
        </is>
      </c>
      <c r="C4" s="3" t="inlineStr">
        <is>
          <t>Availability of rehearsal/teaching space and clubs hosting socials</t>
        </is>
      </c>
      <c r="D4" s="3" t="inlineStr">
        <is>
          <t>venues; rental price per hour (EUR)</t>
        </is>
      </c>
      <c r="E4" s="3" t="inlineStr">
        <is>
          <t>0-5; record prices in notes</t>
        </is>
      </c>
      <c r="F4" s="3" t="inlineStr">
        <is>
          <t>Studio rental pages, venue sites</t>
        </is>
      </c>
    </row>
    <row r="5" ht="15" customHeight="1" s="1">
      <c r="A5" s="3" t="inlineStr">
        <is>
          <t>EVT</t>
        </is>
      </c>
      <c r="B5" s="3" t="inlineStr">
        <is>
          <t>Events</t>
        </is>
      </c>
      <c r="C5" s="3" t="inlineStr">
        <is>
          <t>Regular socials, jams, festivals, shows per year</t>
        </is>
      </c>
      <c r="D5" s="3" t="inlineStr">
        <is>
          <t>events per year</t>
        </is>
      </c>
      <c r="E5" s="3" t="inlineStr">
        <is>
          <t>0-5 relative to city size tier</t>
        </is>
      </c>
      <c r="F5" s="3" t="inlineStr">
        <is>
          <t>Event calendars, ticket platforms, organiser pages</t>
        </is>
      </c>
    </row>
    <row r="6" ht="23.85" customHeight="1" s="1">
      <c r="A6" s="3" t="inlineStr">
        <is>
          <t>CMP</t>
        </is>
      </c>
      <c r="B6" s="3" t="inlineStr">
        <is>
          <t>Competitions</t>
        </is>
      </c>
      <c r="C6" s="3" t="inlineStr">
        <is>
          <t>Battles/contests per year and their level</t>
        </is>
      </c>
      <c r="D6" s="3" t="inlineStr">
        <is>
          <t>competitions per year; highest level</t>
        </is>
      </c>
      <c r="E6" s="3" t="inlineStr">
        <is>
          <t>0-5</t>
        </is>
      </c>
      <c r="F6" s="3" t="inlineStr">
        <is>
          <t>Federation and organiser calendars, published results</t>
        </is>
      </c>
    </row>
    <row r="7" ht="23.85" customHeight="1" s="1">
      <c r="A7" s="3" t="inlineStr">
        <is>
          <t>ATH</t>
        </is>
      </c>
      <c r="B7" s="3" t="inlineStr">
        <is>
          <t>Athletes</t>
        </is>
      </c>
      <c r="C7" s="3" t="inlineStr">
        <is>
          <t>Publicly listed competitors and professionals from the city</t>
        </is>
      </c>
      <c r="D7" s="3" t="inlineStr">
        <is>
          <t>count from public results</t>
        </is>
      </c>
      <c r="E7" s="3" t="inlineStr">
        <is>
          <t>0-5</t>
        </is>
      </c>
      <c r="F7" s="3" t="inlineStr">
        <is>
          <t>Published results, federation rankings (aggregate counts only)</t>
        </is>
      </c>
    </row>
    <row r="8" ht="15" customHeight="1" s="1">
      <c r="A8" s="3" t="inlineStr">
        <is>
          <t>ONL</t>
        </is>
      </c>
      <c r="B8" s="3" t="inlineStr">
        <is>
          <t>Online interest</t>
        </is>
      </c>
      <c r="C8" s="3" t="inlineStr">
        <is>
          <t>Search and social interest in the discipline for this geography</t>
        </is>
      </c>
      <c r="D8" s="3" t="inlineStr">
        <is>
          <t>relative index 0-100</t>
        </is>
      </c>
      <c r="E8" s="3" t="inlineStr">
        <is>
          <t>0-5</t>
        </is>
      </c>
      <c r="F8" s="3" t="inlineStr">
        <is>
          <t>Google Trends, public video and hashtag counts</t>
        </is>
      </c>
    </row>
    <row r="9" ht="23.85" customHeight="1" s="1">
      <c r="A9" s="3" t="inlineStr">
        <is>
          <t>LAD</t>
        </is>
      </c>
      <c r="B9" s="3" t="inlineStr">
        <is>
          <t>Ladder completeness</t>
        </is>
      </c>
      <c r="C9" s="3" t="inlineStr">
        <is>
          <t>Rungs present: class, social/jam, local battle, national comp, international comp</t>
        </is>
      </c>
      <c r="D9" s="3" t="inlineStr">
        <is>
          <t>rungs present (0-5)</t>
        </is>
      </c>
      <c r="E9" s="3" t="inlineStr">
        <is>
          <t>score equals rungs present</t>
        </is>
      </c>
      <c r="F9" s="3" t="inlineStr">
        <is>
          <t>Ladder sheet</t>
        </is>
      </c>
    </row>
    <row r="10" ht="15" customHeight="1" s="1">
      <c r="A10" s="3" t="inlineStr">
        <is>
          <t>PRC</t>
        </is>
      </c>
      <c r="B10" s="3" t="inlineStr">
        <is>
          <t>Prices</t>
        </is>
      </c>
      <c r="C10" s="3" t="inlineStr">
        <is>
          <t>Typical drop-in class price and studio rental price</t>
        </is>
      </c>
      <c r="D10" s="3" t="inlineStr">
        <is>
          <t>EUR</t>
        </is>
      </c>
      <c r="E10" s="3" t="inlineStr">
        <is>
          <t>no score (context only)</t>
        </is>
      </c>
      <c r="F10" s="3" t="inlineStr">
        <is>
          <t>School websites, studio rental pages</t>
        </is>
      </c>
    </row>
  </sheetData>
  <autoFilter ref="A1:F10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640625" defaultRowHeight="14.4"/>
  <cols>
    <col width="10" customWidth="1" style="1" min="1" max="2"/>
    <col width="12" customWidth="1" style="1" min="3" max="3"/>
    <col width="10" customWidth="1" style="1" min="4" max="4"/>
    <col width="22" customWidth="1" style="1" min="5" max="5"/>
    <col width="16" customWidth="1" style="1" min="6" max="6"/>
    <col width="11" customWidth="1" style="1" min="7" max="7"/>
    <col width="14" customWidth="1" style="1" min="8" max="8"/>
    <col width="50" customWidth="1" style="1" min="9" max="9"/>
    <col width="14" customWidth="1" style="1" min="10" max="10"/>
    <col width="40" customWidth="1" style="1" min="11" max="11"/>
  </cols>
  <sheetData>
    <row r="1" ht="30" customHeight="1" s="1">
      <c r="A1" s="5" t="inlineStr">
        <is>
          <t>row_id</t>
        </is>
      </c>
      <c r="B1" s="5" t="inlineStr">
        <is>
          <t>city_id</t>
        </is>
      </c>
      <c r="C1" s="5" t="inlineStr">
        <is>
          <t>disc_id</t>
        </is>
      </c>
      <c r="D1" s="5" t="inlineStr">
        <is>
          <t>signal_id</t>
        </is>
      </c>
      <c r="E1" s="5" t="inlineStr">
        <is>
          <t>raw_value</t>
        </is>
      </c>
      <c r="F1" s="5" t="inlineStr">
        <is>
          <t>unit</t>
        </is>
      </c>
      <c r="G1" s="5" t="inlineStr">
        <is>
          <t>score_0_5</t>
        </is>
      </c>
      <c r="H1" s="5" t="inlineStr">
        <is>
          <t>confidence (H/M/L)</t>
        </is>
      </c>
      <c r="I1" s="5" t="inlineStr">
        <is>
          <t>source_url</t>
        </is>
      </c>
      <c r="J1" s="5" t="inlineStr">
        <is>
          <t>date_accessed</t>
        </is>
      </c>
      <c r="K1" s="5" t="inlineStr">
        <is>
          <t>notes</t>
        </is>
      </c>
    </row>
    <row r="2" ht="15" customHeight="1" s="1">
      <c r="A2" s="6" t="inlineStr">
        <is>
          <t>EXAMPLE</t>
        </is>
      </c>
      <c r="B2" s="6" t="inlineStr">
        <is>
          <t>EXAMPLE</t>
        </is>
      </c>
      <c r="C2" s="6" t="inlineStr">
        <is>
          <t>URB-HIP</t>
        </is>
      </c>
      <c r="D2" s="6" t="inlineStr">
        <is>
          <t>SCH</t>
        </is>
      </c>
      <c r="E2" s="6" t="inlineStr">
        <is>
          <t>format only: e.g. 5</t>
        </is>
      </c>
      <c r="F2" s="6" t="inlineStr">
        <is>
          <t>schools</t>
        </is>
      </c>
      <c r="G2" s="6" t="n">
        <v>3</v>
      </c>
      <c r="H2" s="6" t="inlineStr">
        <is>
          <t>L</t>
        </is>
      </c>
      <c r="I2" s="6" t="inlineStr">
        <is>
          <t>https://example.org (replace)</t>
        </is>
      </c>
      <c r="J2" s="6" t="inlineStr">
        <is>
          <t>2026-10-19</t>
        </is>
      </c>
      <c r="K2" s="6" t="inlineStr">
        <is>
          <t>Delete this row before use</t>
        </is>
      </c>
    </row>
  </sheetData>
  <autoFilter ref="A1:K2"/>
  <dataValidations count="1">
    <dataValidation sqref="H2:H1002" showDropDown="0" showInputMessage="0" showErrorMessage="0" allowBlank="1" type="list">
      <formula1>"H,M,L"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640625" defaultRowHeight="14.4"/>
  <cols>
    <col width="10" customWidth="1" style="1" min="1" max="1"/>
    <col width="26" customWidth="1" style="1" min="2" max="2"/>
    <col width="14" customWidth="1" style="1" min="3" max="4"/>
    <col width="11" customWidth="1" style="1" min="5" max="5"/>
    <col width="20" customWidth="1" style="1" min="6" max="6"/>
    <col width="24" customWidth="1" style="1" min="7" max="7"/>
    <col width="12" customWidth="1" style="1" min="8" max="8"/>
    <col width="30" customWidth="1" style="1" min="9" max="9"/>
    <col width="18" customWidth="1" style="1" min="10" max="10"/>
    <col width="38" customWidth="1" style="1" min="11" max="11"/>
    <col width="14" customWidth="1" style="1" min="12" max="12"/>
    <col width="60" customWidth="1" style="1" min="13" max="13"/>
  </cols>
  <sheetData>
    <row r="1" ht="30" customHeight="1" s="1">
      <c r="A1" s="5" t="inlineStr">
        <is>
          <t>event_id</t>
        </is>
      </c>
      <c r="B1" s="5" t="inlineStr">
        <is>
          <t>name</t>
        </is>
      </c>
      <c r="C1" s="5" t="inlineStr">
        <is>
          <t>city</t>
        </is>
      </c>
      <c r="D1" s="5" t="inlineStr">
        <is>
          <t>country</t>
        </is>
      </c>
      <c r="E1" s="5" t="inlineStr">
        <is>
          <t>disc_id</t>
        </is>
      </c>
      <c r="F1" s="5" t="inlineStr">
        <is>
          <t>type</t>
        </is>
      </c>
      <c r="G1" s="5" t="inlineStr">
        <is>
          <t>edition / year</t>
        </is>
      </c>
      <c r="H1" s="5" t="inlineStr">
        <is>
          <t>frequency</t>
        </is>
      </c>
      <c r="I1" s="5" t="inlineStr">
        <is>
          <t>scale (public figure)</t>
        </is>
      </c>
      <c r="J1" s="5" t="inlineStr">
        <is>
          <t>red_bull_involved</t>
        </is>
      </c>
      <c r="K1" s="5" t="inlineStr">
        <is>
          <t>source_url</t>
        </is>
      </c>
      <c r="L1" s="5" t="inlineStr">
        <is>
          <t>date_accessed</t>
        </is>
      </c>
      <c r="M1" s="5" t="inlineStr">
        <is>
          <t>notes</t>
        </is>
      </c>
    </row>
    <row r="2" ht="35.1" customHeight="1" s="1">
      <c r="A2" s="3" t="inlineStr">
        <is>
          <t>EV-001</t>
        </is>
      </c>
      <c r="B2" s="3" t="inlineStr">
        <is>
          <t>Hooked Tournament</t>
        </is>
      </c>
      <c r="C2" s="3" t="inlineStr">
        <is>
          <t>Amsterdam</t>
        </is>
      </c>
      <c r="D2" s="3" t="inlineStr">
        <is>
          <t>Netherlands</t>
        </is>
      </c>
      <c r="E2" s="3" t="inlineStr">
        <is>
          <t>ACR-TRK</t>
        </is>
      </c>
      <c r="F2" s="3" t="inlineStr">
        <is>
          <t>battle + workshops</t>
        </is>
      </c>
      <c r="G2" s="3" t="inlineStr">
        <is>
          <t>2025 (10th edition, 19-21 Dec)</t>
        </is>
      </c>
      <c r="H2" s="3" t="inlineStr">
        <is>
          <t>annual</t>
        </is>
      </c>
      <c r="I2" s="3" t="inlineStr">
        <is>
          <t>visitors from 50+ countries (no headcount given)</t>
        </is>
      </c>
      <c r="J2" s="3" t="inlineStr">
        <is>
          <t>not stated on the page</t>
        </is>
      </c>
      <c r="K2" s="3" t="inlineStr">
        <is>
          <t>https://hookedtournament.com/</t>
        </is>
      </c>
      <c r="L2" s="3" t="inlineStr">
        <is>
          <t>2026-10-19</t>
        </is>
      </c>
      <c r="M2" s="3" t="inlineStr">
        <is>
          <t>Site does not mention Red Bull. Organiser not named on the page. Sponsors listed: City of Amsterdam, Bergtoys, Airtrack Sale, The Inhumans Agency</t>
        </is>
      </c>
    </row>
  </sheetData>
  <autoFilter ref="A1:M2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2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640625" defaultRowHeight="14.4"/>
  <cols>
    <col width="9" customWidth="1" style="1" min="1" max="1"/>
    <col width="18" customWidth="1" style="1" min="2" max="3"/>
    <col width="24" customWidth="1" style="1" min="4" max="4"/>
    <col width="14" customWidth="1" style="1" min="5" max="5"/>
    <col width="30" customWidth="1" style="1" min="6" max="6"/>
    <col width="28" customWidth="1" style="1" min="7" max="7"/>
    <col width="10" customWidth="1" style="1" min="8" max="8"/>
    <col width="18" customWidth="1" style="1" min="9" max="9"/>
    <col width="50" customWidth="1" style="1" min="10" max="10"/>
    <col width="14" customWidth="1" style="1" min="11" max="11"/>
    <col width="55" customWidth="1" style="1" min="12" max="12"/>
  </cols>
  <sheetData>
    <row r="1" ht="30" customHeight="1" s="1">
      <c r="A1" s="5" t="inlineStr">
        <is>
          <t>rb_id</t>
        </is>
      </c>
      <c r="B1" s="5" t="inlineStr">
        <is>
          <t>series</t>
        </is>
      </c>
      <c r="C1" s="5" t="inlineStr">
        <is>
          <t>level</t>
        </is>
      </c>
      <c r="D1" s="5" t="inlineStr">
        <is>
          <t>city</t>
        </is>
      </c>
      <c r="E1" s="5" t="inlineStr">
        <is>
          <t>country</t>
        </is>
      </c>
      <c r="F1" s="5" t="inlineStr">
        <is>
          <t>date_2026</t>
        </is>
      </c>
      <c r="G1" s="5" t="inlineStr">
        <is>
          <t>venue</t>
        </is>
      </c>
      <c r="H1" s="5" t="inlineStr">
        <is>
          <t>disc_id</t>
        </is>
      </c>
      <c r="I1" s="5" t="inlineStr">
        <is>
          <t>city_certainty</t>
        </is>
      </c>
      <c r="J1" s="5" t="inlineStr">
        <is>
          <t>source_url</t>
        </is>
      </c>
      <c r="K1" s="5" t="inlineStr">
        <is>
          <t>date_accessed</t>
        </is>
      </c>
      <c r="L1" s="5" t="inlineStr">
        <is>
          <t>notes</t>
        </is>
      </c>
    </row>
    <row r="2" ht="15" customHeight="1" s="1">
      <c r="A2" s="3" t="inlineStr">
        <is>
          <t>RB-001</t>
        </is>
      </c>
      <c r="B2" s="3" t="inlineStr">
        <is>
          <t>BC One</t>
        </is>
      </c>
      <c r="C2" s="3" t="inlineStr">
        <is>
          <t>cypher</t>
        </is>
      </c>
      <c r="D2" s="3" t="inlineStr">
        <is>
          <t>Madrid</t>
        </is>
      </c>
      <c r="E2" s="3" t="inlineStr">
        <is>
          <t>Spain</t>
        </is>
      </c>
      <c r="F2" s="3" t="inlineStr">
        <is>
          <t>2026-03-15</t>
        </is>
      </c>
      <c r="G2" s="3" t="n"/>
      <c r="H2" s="3" t="inlineStr">
        <is>
          <t>URB-BRK</t>
        </is>
      </c>
      <c r="I2" s="3" t="inlineStr">
        <is>
          <t>stated</t>
        </is>
      </c>
      <c r="J2" s="3" t="inlineStr">
        <is>
          <t>https://www.redbull.com/int-en/event-series/red-bull-bc-one</t>
        </is>
      </c>
      <c r="K2" s="3" t="inlineStr">
        <is>
          <t>2026-10-19</t>
        </is>
      </c>
      <c r="L2" s="3" t="n"/>
    </row>
    <row r="3" ht="15" customHeight="1" s="1">
      <c r="A3" s="3" t="inlineStr">
        <is>
          <t>RB-002</t>
        </is>
      </c>
      <c r="B3" s="3" t="inlineStr">
        <is>
          <t>BC One</t>
        </is>
      </c>
      <c r="C3" s="3" t="inlineStr">
        <is>
          <t>cypher</t>
        </is>
      </c>
      <c r="D3" s="3" t="inlineStr">
        <is>
          <t>Berlin</t>
        </is>
      </c>
      <c r="E3" s="3" t="inlineStr">
        <is>
          <t>Germany</t>
        </is>
      </c>
      <c r="F3" s="3" t="inlineStr">
        <is>
          <t>2026-03-28</t>
        </is>
      </c>
      <c r="G3" s="3" t="n"/>
      <c r="H3" s="3" t="inlineStr">
        <is>
          <t>URB-BRK</t>
        </is>
      </c>
      <c r="I3" s="3" t="inlineStr">
        <is>
          <t>stated</t>
        </is>
      </c>
      <c r="J3" s="3" t="inlineStr">
        <is>
          <t>https://www.redbull.com/int-en/event-series/red-bull-bc-one</t>
        </is>
      </c>
      <c r="K3" s="3" t="inlineStr">
        <is>
          <t>2026-10-19</t>
        </is>
      </c>
      <c r="L3" s="3" t="n"/>
    </row>
    <row r="4" ht="15" customHeight="1" s="1">
      <c r="A4" s="3" t="inlineStr">
        <is>
          <t>RB-003</t>
        </is>
      </c>
      <c r="B4" s="3" t="inlineStr">
        <is>
          <t>BC One</t>
        </is>
      </c>
      <c r="C4" s="3" t="inlineStr">
        <is>
          <t>cypher</t>
        </is>
      </c>
      <c r="D4" s="3" t="inlineStr">
        <is>
          <t>Rotterdam</t>
        </is>
      </c>
      <c r="E4" s="3" t="inlineStr">
        <is>
          <t>Netherlands</t>
        </is>
      </c>
      <c r="F4" s="3" t="inlineStr">
        <is>
          <t>2026-03-29</t>
        </is>
      </c>
      <c r="G4" s="3" t="n"/>
      <c r="H4" s="3" t="inlineStr">
        <is>
          <t>URB-BRK</t>
        </is>
      </c>
      <c r="I4" s="3" t="inlineStr">
        <is>
          <t>stated</t>
        </is>
      </c>
      <c r="J4" s="3" t="inlineStr">
        <is>
          <t>https://www.redbull.com/int-en/event-series/red-bull-bc-one</t>
        </is>
      </c>
      <c r="K4" s="3" t="inlineStr">
        <is>
          <t>2026-10-19</t>
        </is>
      </c>
      <c r="L4" s="3" t="n"/>
    </row>
    <row r="5" ht="15" customHeight="1" s="1">
      <c r="A5" s="3" t="inlineStr">
        <is>
          <t>RB-004</t>
        </is>
      </c>
      <c r="B5" s="3" t="inlineStr">
        <is>
          <t>BC One</t>
        </is>
      </c>
      <c r="C5" s="3" t="inlineStr">
        <is>
          <t>cypher</t>
        </is>
      </c>
      <c r="D5" s="3" t="inlineStr">
        <is>
          <t>London</t>
        </is>
      </c>
      <c r="E5" s="3" t="inlineStr">
        <is>
          <t>UK</t>
        </is>
      </c>
      <c r="F5" s="3" t="inlineStr">
        <is>
          <t>2026-04-11</t>
        </is>
      </c>
      <c r="G5" s="3" t="inlineStr">
        <is>
          <t>Shoreditch Town Hall</t>
        </is>
      </c>
      <c r="H5" s="3" t="inlineStr">
        <is>
          <t>URB-BRK</t>
        </is>
      </c>
      <c r="I5" s="3" t="inlineStr">
        <is>
          <t>stated</t>
        </is>
      </c>
      <c r="J5" s="3" t="inlineStr">
        <is>
          <t>https://www.redbull.com/int-en/event-series/red-bull-bc-one</t>
        </is>
      </c>
      <c r="K5" s="3" t="inlineStr">
        <is>
          <t>2026-10-19</t>
        </is>
      </c>
      <c r="L5" s="3" t="inlineStr">
        <is>
          <t>; venue from A1 research (not re-verified, redbull.com JS-heavy)</t>
        </is>
      </c>
    </row>
    <row r="6" ht="15" customHeight="1" s="1">
      <c r="A6" s="3" t="inlineStr">
        <is>
          <t>RB-005</t>
        </is>
      </c>
      <c r="B6" s="3" t="inlineStr">
        <is>
          <t>BC One</t>
        </is>
      </c>
      <c r="C6" s="3" t="inlineStr">
        <is>
          <t>cypher</t>
        </is>
      </c>
      <c r="D6" s="3" t="inlineStr">
        <is>
          <t>Lausanne</t>
        </is>
      </c>
      <c r="E6" s="3" t="inlineStr">
        <is>
          <t>Switzerland</t>
        </is>
      </c>
      <c r="F6" s="3" t="inlineStr">
        <is>
          <t>2026-04-18</t>
        </is>
      </c>
      <c r="G6" s="3" t="inlineStr">
        <is>
          <t>Palais de Beaulieu</t>
        </is>
      </c>
      <c r="H6" s="3" t="inlineStr">
        <is>
          <t>URB-BRK</t>
        </is>
      </c>
      <c r="I6" s="3" t="inlineStr">
        <is>
          <t>stated</t>
        </is>
      </c>
      <c r="J6" s="3" t="inlineStr">
        <is>
          <t>https://www.redbull.com/int-en/event-series/red-bull-bc-one</t>
        </is>
      </c>
      <c r="K6" s="3" t="inlineStr">
        <is>
          <t>2026-10-19</t>
        </is>
      </c>
      <c r="L6" s="3" t="n"/>
    </row>
    <row r="7" ht="15" customHeight="1" s="1">
      <c r="A7" s="3" t="inlineStr">
        <is>
          <t>RB-006</t>
        </is>
      </c>
      <c r="B7" s="3" t="inlineStr">
        <is>
          <t>BC One</t>
        </is>
      </c>
      <c r="C7" s="3" t="inlineStr">
        <is>
          <t>cypher</t>
        </is>
      </c>
      <c r="D7" s="3" t="inlineStr">
        <is>
          <t>Innsbruck</t>
        </is>
      </c>
      <c r="E7" s="3" t="inlineStr">
        <is>
          <t>Austria</t>
        </is>
      </c>
      <c r="F7" s="3" t="inlineStr">
        <is>
          <t>2026-04-19</t>
        </is>
      </c>
      <c r="G7" s="3" t="inlineStr">
        <is>
          <t>Villa Blanka</t>
        </is>
      </c>
      <c r="H7" s="3" t="inlineStr">
        <is>
          <t>URB-BRK</t>
        </is>
      </c>
      <c r="I7" s="3" t="inlineStr">
        <is>
          <t>stated</t>
        </is>
      </c>
      <c r="J7" s="3" t="inlineStr">
        <is>
          <t>https://www.redbull.com/int-en/event-series/red-bull-bc-one</t>
        </is>
      </c>
      <c r="K7" s="3" t="inlineStr">
        <is>
          <t>2026-10-19</t>
        </is>
      </c>
      <c r="L7" s="3" t="n"/>
    </row>
    <row r="8" ht="15" customHeight="1" s="1">
      <c r="A8" s="3" t="inlineStr">
        <is>
          <t>RB-007</t>
        </is>
      </c>
      <c r="B8" s="3" t="inlineStr">
        <is>
          <t>BC One</t>
        </is>
      </c>
      <c r="C8" s="3" t="inlineStr">
        <is>
          <t>cypher</t>
        </is>
      </c>
      <c r="D8" s="3" t="inlineStr">
        <is>
          <t>Ghent</t>
        </is>
      </c>
      <c r="E8" s="3" t="inlineStr">
        <is>
          <t>Belgium</t>
        </is>
      </c>
      <c r="F8" s="3" t="inlineStr">
        <is>
          <t>2026-04-26</t>
        </is>
      </c>
      <c r="G8" s="3" t="inlineStr">
        <is>
          <t>Wintercircus</t>
        </is>
      </c>
      <c r="H8" s="3" t="inlineStr">
        <is>
          <t>URB-BRK</t>
        </is>
      </c>
      <c r="I8" s="3" t="inlineStr">
        <is>
          <t>inferred from venue</t>
        </is>
      </c>
      <c r="J8" s="3" t="inlineStr">
        <is>
          <t>https://www.redbull.com/int-en/event-series/red-bull-bc-one</t>
        </is>
      </c>
      <c r="K8" s="3" t="inlineStr">
        <is>
          <t>2026-10-19</t>
        </is>
      </c>
      <c r="L8" s="3" t="inlineStr">
        <is>
          <t>Page names only Belgium; verify city; and8.dance/fr/e/5406 page verified 2026-10-19 (city still inferred)</t>
        </is>
      </c>
    </row>
    <row r="9" ht="15" customHeight="1" s="1">
      <c r="A9" s="3" t="inlineStr">
        <is>
          <t>RB-008</t>
        </is>
      </c>
      <c r="B9" s="3" t="inlineStr">
        <is>
          <t>BC One</t>
        </is>
      </c>
      <c r="C9" s="3" t="inlineStr">
        <is>
          <t>cypher</t>
        </is>
      </c>
      <c r="D9" s="3" t="inlineStr">
        <is>
          <t>Kyiv</t>
        </is>
      </c>
      <c r="E9" s="3" t="inlineStr">
        <is>
          <t>Ukraine</t>
        </is>
      </c>
      <c r="F9" s="3" t="inlineStr">
        <is>
          <t>2026-05-09</t>
        </is>
      </c>
      <c r="G9" s="3" t="inlineStr">
        <is>
          <t>VDNH</t>
        </is>
      </c>
      <c r="H9" s="3" t="inlineStr">
        <is>
          <t>URB-BRK</t>
        </is>
      </c>
      <c r="I9" s="3" t="inlineStr">
        <is>
          <t>inferred from venue</t>
        </is>
      </c>
      <c r="J9" s="3" t="inlineStr">
        <is>
          <t>https://www.redbull.com/int-en/event-series/red-bull-bc-one</t>
        </is>
      </c>
      <c r="K9" s="3" t="inlineStr">
        <is>
          <t>2026-10-19</t>
        </is>
      </c>
      <c r="L9" s="3" t="inlineStr">
        <is>
          <t>Page names only Ukraine; verify city</t>
        </is>
      </c>
    </row>
    <row r="10" ht="15" customHeight="1" s="1">
      <c r="A10" s="3" t="inlineStr">
        <is>
          <t>RB-009</t>
        </is>
      </c>
      <c r="B10" s="3" t="inlineStr">
        <is>
          <t>BC One</t>
        </is>
      </c>
      <c r="C10" s="3" t="inlineStr">
        <is>
          <t>cypher</t>
        </is>
      </c>
      <c r="D10" s="3" t="inlineStr">
        <is>
          <t>Bucharest</t>
        </is>
      </c>
      <c r="E10" s="3" t="inlineStr">
        <is>
          <t>Romania</t>
        </is>
      </c>
      <c r="F10" s="3" t="inlineStr">
        <is>
          <t>2026-05-22</t>
        </is>
      </c>
      <c r="G10" s="3" t="inlineStr">
        <is>
          <t>ParkLake Mall</t>
        </is>
      </c>
      <c r="H10" s="3" t="inlineStr">
        <is>
          <t>URB-BRK</t>
        </is>
      </c>
      <c r="I10" s="3" t="inlineStr">
        <is>
          <t>inferred from venue</t>
        </is>
      </c>
      <c r="J10" s="3" t="inlineStr">
        <is>
          <t>https://www.redbull.com/int-en/event-series/red-bull-bc-one</t>
        </is>
      </c>
      <c r="K10" s="3" t="inlineStr">
        <is>
          <t>2026-10-19</t>
        </is>
      </c>
      <c r="L10" s="3" t="inlineStr">
        <is>
          <t>Page names only Romania; verify city</t>
        </is>
      </c>
    </row>
    <row r="11" ht="15" customHeight="1" s="1">
      <c r="A11" s="3" t="inlineStr">
        <is>
          <t>RB-010</t>
        </is>
      </c>
      <c r="B11" s="3" t="inlineStr">
        <is>
          <t>BC One</t>
        </is>
      </c>
      <c r="C11" s="3" t="inlineStr">
        <is>
          <t>cypher</t>
        </is>
      </c>
      <c r="D11" s="3" t="inlineStr">
        <is>
          <t>L'Aquila</t>
        </is>
      </c>
      <c r="E11" s="3" t="inlineStr">
        <is>
          <t>Italy</t>
        </is>
      </c>
      <c r="F11" s="3" t="inlineStr">
        <is>
          <t>2026-05-22</t>
        </is>
      </c>
      <c r="G11" s="3" t="n"/>
      <c r="H11" s="3" t="inlineStr">
        <is>
          <t>URB-BRK</t>
        </is>
      </c>
      <c r="I11" s="3" t="inlineStr">
        <is>
          <t>stated</t>
        </is>
      </c>
      <c r="J11" s="3" t="inlineStr">
        <is>
          <t>https://www.redbull.com/int-en/event-series/red-bull-bc-one</t>
        </is>
      </c>
      <c r="K11" s="3" t="inlineStr">
        <is>
          <t>2026-10-19</t>
        </is>
      </c>
      <c r="L11" s="3" t="n"/>
    </row>
    <row r="12" ht="15" customHeight="1" s="1">
      <c r="A12" s="3" t="inlineStr">
        <is>
          <t>RB-011</t>
        </is>
      </c>
      <c r="B12" s="3" t="inlineStr">
        <is>
          <t>BC One</t>
        </is>
      </c>
      <c r="C12" s="3" t="inlineStr">
        <is>
          <t>cypher</t>
        </is>
      </c>
      <c r="D12" s="3" t="inlineStr">
        <is>
          <t>Aubervilliers</t>
        </is>
      </c>
      <c r="E12" s="3" t="inlineStr">
        <is>
          <t>France</t>
        </is>
      </c>
      <c r="F12" s="3" t="inlineStr">
        <is>
          <t>2026-09-12</t>
        </is>
      </c>
      <c r="G12" s="3" t="inlineStr">
        <is>
          <t>Le Point Fort</t>
        </is>
      </c>
      <c r="H12" s="3" t="inlineStr">
        <is>
          <t>URB-BRK</t>
        </is>
      </c>
      <c r="I12" s="3" t="inlineStr">
        <is>
          <t>stated</t>
        </is>
      </c>
      <c r="J12" s="3" t="inlineStr">
        <is>
          <t>https://www.redbull.com/int-en/event-series/red-bull-bc-one</t>
        </is>
      </c>
      <c r="K12" s="3" t="inlineStr">
        <is>
          <t>2026-10-19</t>
        </is>
      </c>
      <c r="L12" s="3" t="inlineStr">
        <is>
          <t>Paris metro area</t>
        </is>
      </c>
    </row>
    <row r="13" ht="15" customHeight="1" s="1">
      <c r="A13" s="3" t="inlineStr">
        <is>
          <t>RB-012</t>
        </is>
      </c>
      <c r="B13" s="3" t="inlineStr">
        <is>
          <t>BC One</t>
        </is>
      </c>
      <c r="C13" s="3" t="inlineStr">
        <is>
          <t>world final</t>
        </is>
      </c>
      <c r="D13" s="3" t="inlineStr">
        <is>
          <t>Toronto</t>
        </is>
      </c>
      <c r="E13" s="3" t="inlineStr">
        <is>
          <t>Canada</t>
        </is>
      </c>
      <c r="F13" s="3" t="inlineStr">
        <is>
          <t>2026-11-29</t>
        </is>
      </c>
      <c r="G13" s="3" t="n"/>
      <c r="H13" s="3" t="inlineStr">
        <is>
          <t>URB-BRK</t>
        </is>
      </c>
      <c r="I13" s="3" t="inlineStr">
        <is>
          <t>stated</t>
        </is>
      </c>
      <c r="J13" s="3" t="inlineStr">
        <is>
          <t>https://www.redbull.com/int-en/event-series/red-bull-bc-one</t>
        </is>
      </c>
      <c r="K13" s="3" t="inlineStr">
        <is>
          <t>2026-10-19</t>
        </is>
      </c>
      <c r="L13" s="3" t="inlineStr">
        <is>
          <t>Upcoming</t>
        </is>
      </c>
    </row>
    <row r="14" ht="15" customHeight="1" s="1">
      <c r="A14" s="3" t="inlineStr">
        <is>
          <t>RB-013</t>
        </is>
      </c>
      <c r="B14" s="3" t="inlineStr">
        <is>
          <t>BC One</t>
        </is>
      </c>
      <c r="C14" s="3" t="inlineStr">
        <is>
          <t>cypher / national</t>
        </is>
      </c>
      <c r="D14" s="3" t="inlineStr">
        <is>
          <t>Almaty</t>
        </is>
      </c>
      <c r="E14" s="3" t="inlineStr">
        <is>
          <t>Kazakhstan</t>
        </is>
      </c>
      <c r="F14" s="3" t="inlineStr">
        <is>
          <t>2026-02-28</t>
        </is>
      </c>
      <c r="G14" s="3" t="n"/>
      <c r="H14" s="3" t="inlineStr">
        <is>
          <t>URB-BRK</t>
        </is>
      </c>
      <c r="I14" s="3" t="inlineStr">
        <is>
          <t>stated</t>
        </is>
      </c>
      <c r="J14" s="3" t="inlineStr">
        <is>
          <t>https://www.redbull.com/int-en/event-series/red-bull-bc-one</t>
        </is>
      </c>
      <c r="K14" s="3" t="inlineStr">
        <is>
          <t>2026-10-19</t>
        </is>
      </c>
      <c r="L14" s="3" t="n"/>
    </row>
    <row r="15" ht="15" customHeight="1" s="1">
      <c r="A15" s="3" t="inlineStr">
        <is>
          <t>RB-014</t>
        </is>
      </c>
      <c r="B15" s="3" t="inlineStr">
        <is>
          <t>BC One</t>
        </is>
      </c>
      <c r="C15" s="3" t="inlineStr">
        <is>
          <t>cypher / national</t>
        </is>
      </c>
      <c r="D15" s="3" t="inlineStr">
        <is>
          <t>Denver</t>
        </is>
      </c>
      <c r="E15" s="3" t="inlineStr">
        <is>
          <t>USA</t>
        </is>
      </c>
      <c r="F15" s="3" t="inlineStr">
        <is>
          <t>2026-04-03</t>
        </is>
      </c>
      <c r="G15" s="3" t="inlineStr">
        <is>
          <t>Boettcher Concert Hall</t>
        </is>
      </c>
      <c r="H15" s="3" t="inlineStr">
        <is>
          <t>URB-BRK</t>
        </is>
      </c>
      <c r="I15" s="3" t="inlineStr">
        <is>
          <t>stated</t>
        </is>
      </c>
      <c r="J15" s="3" t="inlineStr">
        <is>
          <t>https://www.redbull.com/int-en/event-series/red-bull-bc-one</t>
        </is>
      </c>
      <c r="K15" s="3" t="inlineStr">
        <is>
          <t>2026-10-19</t>
        </is>
      </c>
      <c r="L15" s="3" t="n"/>
    </row>
    <row r="16" ht="15" customHeight="1" s="1">
      <c r="A16" s="3" t="inlineStr">
        <is>
          <t>RB-015</t>
        </is>
      </c>
      <c r="B16" s="3" t="inlineStr">
        <is>
          <t>BC One</t>
        </is>
      </c>
      <c r="C16" s="3" t="inlineStr">
        <is>
          <t>cypher / national</t>
        </is>
      </c>
      <c r="D16" s="3" t="inlineStr">
        <is>
          <t>Seattle</t>
        </is>
      </c>
      <c r="E16" s="3" t="inlineStr">
        <is>
          <t>USA</t>
        </is>
      </c>
      <c r="F16" s="3" t="inlineStr">
        <is>
          <t>2026-05-31</t>
        </is>
      </c>
      <c r="G16" s="3" t="inlineStr">
        <is>
          <t>Showbox SoDo</t>
        </is>
      </c>
      <c r="H16" s="3" t="inlineStr">
        <is>
          <t>URB-BRK</t>
        </is>
      </c>
      <c r="I16" s="3" t="inlineStr">
        <is>
          <t>stated</t>
        </is>
      </c>
      <c r="J16" s="3" t="inlineStr">
        <is>
          <t>https://www.redbull.com/int-en/event-series/red-bull-bc-one</t>
        </is>
      </c>
      <c r="K16" s="3" t="inlineStr">
        <is>
          <t>2026-10-19</t>
        </is>
      </c>
      <c r="L16" s="3" t="n"/>
    </row>
    <row r="17" ht="15" customHeight="1" s="1">
      <c r="A17" s="3" t="inlineStr">
        <is>
          <t>RB-016</t>
        </is>
      </c>
      <c r="B17" s="3" t="inlineStr">
        <is>
          <t>BC One</t>
        </is>
      </c>
      <c r="C17" s="3" t="inlineStr">
        <is>
          <t>cypher / national</t>
        </is>
      </c>
      <c r="D17" s="3" t="inlineStr">
        <is>
          <t>Detroit</t>
        </is>
      </c>
      <c r="E17" s="3" t="inlineStr">
        <is>
          <t>USA</t>
        </is>
      </c>
      <c r="F17" s="3" t="inlineStr">
        <is>
          <t>2026-06-05</t>
        </is>
      </c>
      <c r="G17" s="3" t="inlineStr">
        <is>
          <t>MCSDA</t>
        </is>
      </c>
      <c r="H17" s="3" t="inlineStr">
        <is>
          <t>URB-BRK</t>
        </is>
      </c>
      <c r="I17" s="3" t="inlineStr">
        <is>
          <t>stated</t>
        </is>
      </c>
      <c r="J17" s="3" t="inlineStr">
        <is>
          <t>https://www.redbull.com/int-en/event-series/red-bull-bc-one</t>
        </is>
      </c>
      <c r="K17" s="3" t="inlineStr">
        <is>
          <t>2026-10-19</t>
        </is>
      </c>
      <c r="L17" s="3" t="n"/>
    </row>
    <row r="18" ht="15" customHeight="1" s="1">
      <c r="A18" s="3" t="inlineStr">
        <is>
          <t>RB-017</t>
        </is>
      </c>
      <c r="B18" s="3" t="inlineStr">
        <is>
          <t>BC One</t>
        </is>
      </c>
      <c r="C18" s="3" t="inlineStr">
        <is>
          <t>cypher / national</t>
        </is>
      </c>
      <c r="D18" s="3" t="inlineStr">
        <is>
          <t>San Diego</t>
        </is>
      </c>
      <c r="E18" s="3" t="inlineStr">
        <is>
          <t>USA</t>
        </is>
      </c>
      <c r="F18" s="3" t="inlineStr">
        <is>
          <t>2026-08-22</t>
        </is>
      </c>
      <c r="G18" s="3" t="inlineStr">
        <is>
          <t>Port Pavilion, Broadway Pier</t>
        </is>
      </c>
      <c r="H18" s="3" t="inlineStr">
        <is>
          <t>URB-BRK</t>
        </is>
      </c>
      <c r="I18" s="3" t="inlineStr">
        <is>
          <t>inferred from venue</t>
        </is>
      </c>
      <c r="J18" s="3" t="inlineStr">
        <is>
          <t>https://www.redbull.com/int-en/event-series/red-bull-bc-one</t>
        </is>
      </c>
      <c r="K18" s="3" t="inlineStr">
        <is>
          <t>2026-10-19</t>
        </is>
      </c>
      <c r="L18" s="3" t="n"/>
    </row>
    <row r="19" ht="15" customHeight="1" s="1">
      <c r="A19" s="3" t="inlineStr">
        <is>
          <t>RB-018</t>
        </is>
      </c>
      <c r="B19" s="3" t="inlineStr">
        <is>
          <t>BC One</t>
        </is>
      </c>
      <c r="C19" s="3" t="inlineStr">
        <is>
          <t>cypher / national</t>
        </is>
      </c>
      <c r="D19" s="3" t="n"/>
      <c r="E19" s="3" t="inlineStr">
        <is>
          <t>India</t>
        </is>
      </c>
      <c r="F19" s="3" t="inlineStr">
        <is>
          <t>2026-06-05</t>
        </is>
      </c>
      <c r="G19" s="3" t="inlineStr">
        <is>
          <t>Pinhole Studio</t>
        </is>
      </c>
      <c r="H19" s="3" t="inlineStr">
        <is>
          <t>URB-BRK</t>
        </is>
      </c>
      <c r="I19" s="3" t="inlineStr">
        <is>
          <t>country only</t>
        </is>
      </c>
      <c r="J19" s="3" t="inlineStr">
        <is>
          <t>https://www.redbull.com/int-en/event-series/red-bull-bc-one</t>
        </is>
      </c>
      <c r="K19" s="3" t="inlineStr">
        <is>
          <t>2026-10-19</t>
        </is>
      </c>
      <c r="L19" s="3" t="n"/>
    </row>
    <row r="20" ht="15" customHeight="1" s="1">
      <c r="A20" s="3" t="inlineStr">
        <is>
          <t>RB-019</t>
        </is>
      </c>
      <c r="B20" s="3" t="inlineStr">
        <is>
          <t>BC One</t>
        </is>
      </c>
      <c r="C20" s="3" t="inlineStr">
        <is>
          <t>cypher / national</t>
        </is>
      </c>
      <c r="D20" s="3" t="inlineStr">
        <is>
          <t>Taipei</t>
        </is>
      </c>
      <c r="E20" s="3" t="inlineStr">
        <is>
          <t>Taiwan</t>
        </is>
      </c>
      <c r="F20" s="3" t="inlineStr">
        <is>
          <t>2026-06-06</t>
        </is>
      </c>
      <c r="G20" s="3" t="n"/>
      <c r="H20" s="3" t="inlineStr">
        <is>
          <t>URB-BRK</t>
        </is>
      </c>
      <c r="I20" s="3" t="inlineStr">
        <is>
          <t>stated</t>
        </is>
      </c>
      <c r="J20" s="3" t="inlineStr">
        <is>
          <t>https://www.redbull.com/int-en/event-series/red-bull-bc-one</t>
        </is>
      </c>
      <c r="K20" s="3" t="inlineStr">
        <is>
          <t>2026-10-19</t>
        </is>
      </c>
      <c r="L20" s="3" t="n"/>
    </row>
    <row r="21" ht="15" customHeight="1" s="1">
      <c r="A21" s="3" t="inlineStr">
        <is>
          <t>RB-020</t>
        </is>
      </c>
      <c r="B21" s="3" t="inlineStr">
        <is>
          <t>BC One</t>
        </is>
      </c>
      <c r="C21" s="3" t="inlineStr">
        <is>
          <t>cypher / national</t>
        </is>
      </c>
      <c r="D21" s="3" t="inlineStr">
        <is>
          <t>Medellin</t>
        </is>
      </c>
      <c r="E21" s="3" t="inlineStr">
        <is>
          <t>Colombia</t>
        </is>
      </c>
      <c r="F21" s="3" t="inlineStr">
        <is>
          <t>2026-07-12</t>
        </is>
      </c>
      <c r="G21" s="3" t="n"/>
      <c r="H21" s="3" t="inlineStr">
        <is>
          <t>URB-BRK</t>
        </is>
      </c>
      <c r="I21" s="3" t="inlineStr">
        <is>
          <t>stated</t>
        </is>
      </c>
      <c r="J21" s="3" t="inlineStr">
        <is>
          <t>https://www.redbull.com/int-en/event-series/red-bull-bc-one</t>
        </is>
      </c>
      <c r="K21" s="3" t="inlineStr">
        <is>
          <t>2026-10-19</t>
        </is>
      </c>
      <c r="L21" s="3" t="n"/>
    </row>
    <row r="22" ht="15" customHeight="1" s="1">
      <c r="A22" s="3" t="inlineStr">
        <is>
          <t>RB-021</t>
        </is>
      </c>
      <c r="B22" s="3" t="inlineStr">
        <is>
          <t>BC One</t>
        </is>
      </c>
      <c r="C22" s="3" t="inlineStr">
        <is>
          <t>cypher / national</t>
        </is>
      </c>
      <c r="D22" s="3" t="inlineStr">
        <is>
          <t>Bangkok</t>
        </is>
      </c>
      <c r="E22" s="3" t="inlineStr">
        <is>
          <t>Thailand</t>
        </is>
      </c>
      <c r="F22" s="3" t="inlineStr">
        <is>
          <t>2026-07-18</t>
        </is>
      </c>
      <c r="G22" s="3" t="inlineStr">
        <is>
          <t>HOSTBKK Arts Center</t>
        </is>
      </c>
      <c r="H22" s="3" t="inlineStr">
        <is>
          <t>URB-BRK</t>
        </is>
      </c>
      <c r="I22" s="3" t="inlineStr">
        <is>
          <t>inferred from venue</t>
        </is>
      </c>
      <c r="J22" s="3" t="inlineStr">
        <is>
          <t>https://www.redbull.com/int-en/event-series/red-bull-bc-one</t>
        </is>
      </c>
      <c r="K22" s="3" t="inlineStr">
        <is>
          <t>2026-10-19</t>
        </is>
      </c>
      <c r="L22" s="3" t="inlineStr">
        <is>
          <t>; A1 reports 19 Jul in one source</t>
        </is>
      </c>
    </row>
    <row r="23" ht="23.85" customHeight="1" s="1">
      <c r="A23" s="3" t="inlineStr">
        <is>
          <t>RB-022</t>
        </is>
      </c>
      <c r="B23" s="3" t="inlineStr">
        <is>
          <t>BC One</t>
        </is>
      </c>
      <c r="C23" s="3" t="inlineStr">
        <is>
          <t>cypher / national</t>
        </is>
      </c>
      <c r="D23" s="3" t="inlineStr">
        <is>
          <t>Nagoya</t>
        </is>
      </c>
      <c r="E23" s="3" t="inlineStr">
        <is>
          <t>Japan</t>
        </is>
      </c>
      <c r="F23" s="3" t="inlineStr">
        <is>
          <t>2026-08-23</t>
        </is>
      </c>
      <c r="G23" s="3" t="inlineStr">
        <is>
          <t>Meijo University campus, Nagoya area</t>
        </is>
      </c>
      <c r="H23" s="3" t="inlineStr">
        <is>
          <t>URB-BRK</t>
        </is>
      </c>
      <c r="I23" s="3" t="inlineStr">
        <is>
          <t>inferred from venue</t>
        </is>
      </c>
      <c r="J23" s="3" t="inlineStr">
        <is>
          <t>https://www.redbull.com/int-en/event-series/red-bull-bc-one</t>
        </is>
      </c>
      <c r="K23" s="3" t="inlineStr">
        <is>
          <t>2026-10-19</t>
        </is>
      </c>
      <c r="L23" s="3" t="n"/>
    </row>
    <row r="24" ht="15" customHeight="1" s="1">
      <c r="A24" s="3" t="inlineStr">
        <is>
          <t>RB-023</t>
        </is>
      </c>
      <c r="B24" s="3" t="inlineStr">
        <is>
          <t>BC One</t>
        </is>
      </c>
      <c r="C24" s="3" t="inlineStr">
        <is>
          <t>cypher / national</t>
        </is>
      </c>
      <c r="D24" s="3" t="n"/>
      <c r="E24" s="3" t="inlineStr">
        <is>
          <t>Canada</t>
        </is>
      </c>
      <c r="F24" s="3" t="inlineStr">
        <is>
          <t>2026-08-29</t>
        </is>
      </c>
      <c r="G24" s="3" t="n"/>
      <c r="H24" s="3" t="inlineStr">
        <is>
          <t>URB-BRK</t>
        </is>
      </c>
      <c r="I24" s="3" t="inlineStr">
        <is>
          <t>country only</t>
        </is>
      </c>
      <c r="J24" s="3" t="inlineStr">
        <is>
          <t>https://www.redbull.com/int-en/event-series/red-bull-bc-one</t>
        </is>
      </c>
      <c r="K24" s="3" t="inlineStr">
        <is>
          <t>2026-10-19</t>
        </is>
      </c>
      <c r="L24" s="3" t="n"/>
    </row>
    <row r="25" ht="15" customHeight="1" s="1">
      <c r="A25" s="3" t="inlineStr">
        <is>
          <t>RB-024</t>
        </is>
      </c>
      <c r="B25" s="3" t="inlineStr">
        <is>
          <t>BC One</t>
        </is>
      </c>
      <c r="C25" s="3" t="inlineStr">
        <is>
          <t>cypher / national</t>
        </is>
      </c>
      <c r="D25" s="3" t="inlineStr">
        <is>
          <t>Cape Town</t>
        </is>
      </c>
      <c r="E25" s="3" t="inlineStr">
        <is>
          <t>South Africa</t>
        </is>
      </c>
      <c r="F25" s="3" t="inlineStr">
        <is>
          <t>2026-09-05</t>
        </is>
      </c>
      <c r="G25" s="3" t="inlineStr">
        <is>
          <t>Thibault Square Plaza</t>
        </is>
      </c>
      <c r="H25" s="3" t="inlineStr">
        <is>
          <t>URB-BRK</t>
        </is>
      </c>
      <c r="I25" s="3" t="inlineStr">
        <is>
          <t>inferred from venue</t>
        </is>
      </c>
      <c r="J25" s="3" t="inlineStr">
        <is>
          <t>https://www.redbull.com/int-en/event-series/red-bull-bc-one</t>
        </is>
      </c>
      <c r="K25" s="3" t="inlineStr">
        <is>
          <t>2026-10-19</t>
        </is>
      </c>
      <c r="L25" s="3" t="n"/>
    </row>
    <row r="26" ht="15" customHeight="1" s="1">
      <c r="A26" s="3" t="inlineStr">
        <is>
          <t>RB-025</t>
        </is>
      </c>
      <c r="B26" s="3" t="inlineStr">
        <is>
          <t>BC One</t>
        </is>
      </c>
      <c r="C26" s="3" t="inlineStr">
        <is>
          <t>cypher / national</t>
        </is>
      </c>
      <c r="D26" s="3" t="inlineStr">
        <is>
          <t>Sydney</t>
        </is>
      </c>
      <c r="E26" s="3" t="inlineStr">
        <is>
          <t>Australia</t>
        </is>
      </c>
      <c r="F26" s="3" t="inlineStr">
        <is>
          <t>2026-09-26</t>
        </is>
      </c>
      <c r="G26" s="3" t="inlineStr">
        <is>
          <t>Street University</t>
        </is>
      </c>
      <c r="H26" s="3" t="inlineStr">
        <is>
          <t>URB-BRK</t>
        </is>
      </c>
      <c r="I26" s="3" t="inlineStr">
        <is>
          <t>inferred from A1 (not re-verified)</t>
        </is>
      </c>
      <c r="J26" s="3" t="inlineStr">
        <is>
          <t>https://www.redbull.com/int-en/event-series/red-bull-bc-one</t>
        </is>
      </c>
      <c r="K26" s="3" t="inlineStr">
        <is>
          <t>2026-10-19</t>
        </is>
      </c>
      <c r="L26" s="3" t="n"/>
    </row>
    <row r="27" ht="15" customHeight="1" s="1">
      <c r="A27" s="3" t="inlineStr">
        <is>
          <t>RB-026</t>
        </is>
      </c>
      <c r="B27" s="3" t="inlineStr">
        <is>
          <t>BC One</t>
        </is>
      </c>
      <c r="C27" s="3" t="inlineStr">
        <is>
          <t>cypher / national</t>
        </is>
      </c>
      <c r="D27" s="3" t="n"/>
      <c r="E27" s="3" t="inlineStr">
        <is>
          <t>Morocco</t>
        </is>
      </c>
      <c r="F27" s="3" t="inlineStr">
        <is>
          <t>2026-09-26</t>
        </is>
      </c>
      <c r="G27" s="3" t="n"/>
      <c r="H27" s="3" t="inlineStr">
        <is>
          <t>URB-BRK</t>
        </is>
      </c>
      <c r="I27" s="3" t="inlineStr">
        <is>
          <t>country only</t>
        </is>
      </c>
      <c r="J27" s="3" t="inlineStr">
        <is>
          <t>https://www.redbull.com/int-en/event-series/red-bull-bc-one</t>
        </is>
      </c>
      <c r="K27" s="3" t="inlineStr">
        <is>
          <t>2026-10-19</t>
        </is>
      </c>
      <c r="L27" s="3" t="n"/>
    </row>
    <row r="28" ht="23.85" customHeight="1" s="1">
      <c r="A28" s="3" t="inlineStr">
        <is>
          <t>RB-027</t>
        </is>
      </c>
      <c r="B28" s="3" t="inlineStr">
        <is>
          <t>Dance Your Style</t>
        </is>
      </c>
      <c r="C28" s="3" t="inlineStr">
        <is>
          <t>world final</t>
        </is>
      </c>
      <c r="D28" s="3" t="inlineStr">
        <is>
          <t>Zurich</t>
        </is>
      </c>
      <c r="E28" s="3" t="inlineStr">
        <is>
          <t>Switzerland</t>
        </is>
      </c>
      <c r="F28" s="3" t="inlineStr">
        <is>
          <t>2026-10-24</t>
        </is>
      </c>
      <c r="G28" s="3" t="inlineStr">
        <is>
          <t>Hallenstadion</t>
        </is>
      </c>
      <c r="H28" s="3" t="inlineStr">
        <is>
          <t>URB-MIX</t>
        </is>
      </c>
      <c r="I28" s="3" t="inlineStr">
        <is>
          <t>stated</t>
        </is>
      </c>
      <c r="J28" s="3" t="inlineStr">
        <is>
          <t>https://www.redbull.com/int-en/event-series/red-bull-dance-your-style</t>
        </is>
      </c>
      <c r="K28" s="3" t="inlineStr">
        <is>
          <t>2026-10-19</t>
        </is>
      </c>
      <c r="L28" s="3" t="inlineStr">
        <is>
          <t>Upcoming; date from series page</t>
        </is>
      </c>
    </row>
    <row r="29" ht="23.85" customHeight="1" s="1">
      <c r="A29" s="3" t="inlineStr">
        <is>
          <t>RB-028</t>
        </is>
      </c>
      <c r="B29" s="3" t="inlineStr">
        <is>
          <t>Dance Your Style</t>
        </is>
      </c>
      <c r="C29" s="3" t="inlineStr">
        <is>
          <t>national final</t>
        </is>
      </c>
      <c r="D29" s="3" t="inlineStr">
        <is>
          <t>London</t>
        </is>
      </c>
      <c r="E29" s="3" t="inlineStr">
        <is>
          <t>UK</t>
        </is>
      </c>
      <c r="F29" s="3" t="inlineStr">
        <is>
          <t>2026-05-30</t>
        </is>
      </c>
      <c r="G29" s="3" t="inlineStr">
        <is>
          <t>Central Hall Westminster</t>
        </is>
      </c>
      <c r="H29" s="3" t="inlineStr">
        <is>
          <t>URB-MIX</t>
        </is>
      </c>
      <c r="I29" s="3" t="inlineStr">
        <is>
          <t>stated</t>
        </is>
      </c>
      <c r="J29" s="3" t="inlineStr">
        <is>
          <t>https://www.redbull.com/int-en/event-series/red-bull-dance-your-style</t>
        </is>
      </c>
      <c r="K29" s="3" t="inlineStr">
        <is>
          <t>2026-10-19</t>
        </is>
      </c>
      <c r="L29" s="3" t="inlineStr">
        <is>
          <t>Qualifiers across the UK; venue from A1 (not re-verified)</t>
        </is>
      </c>
    </row>
    <row r="30" ht="23.85" customHeight="1" s="1">
      <c r="A30" s="3" t="inlineStr">
        <is>
          <t>RB-029</t>
        </is>
      </c>
      <c r="B30" s="3" t="inlineStr">
        <is>
          <t>Dance Your Style</t>
        </is>
      </c>
      <c r="C30" s="3" t="inlineStr">
        <is>
          <t>national final</t>
        </is>
      </c>
      <c r="D30" s="3" t="inlineStr">
        <is>
          <t>Basel</t>
        </is>
      </c>
      <c r="E30" s="3" t="inlineStr">
        <is>
          <t>Switzerland</t>
        </is>
      </c>
      <c r="F30" s="3" t="inlineStr">
        <is>
          <t>unclear (page shows 16 May - 4 Jul)</t>
        </is>
      </c>
      <c r="G30" s="3" t="n"/>
      <c r="H30" s="3" t="inlineStr">
        <is>
          <t>URB-MIX</t>
        </is>
      </c>
      <c r="I30" s="3" t="inlineStr">
        <is>
          <t>stated</t>
        </is>
      </c>
      <c r="J30" s="3" t="inlineStr">
        <is>
          <t>https://www.redbull.com/int-en/event-series/red-bull-dance-your-style</t>
        </is>
      </c>
      <c r="K30" s="3" t="inlineStr">
        <is>
          <t>2026-10-19</t>
        </is>
      </c>
      <c r="L30" s="3" t="inlineStr">
        <is>
          <t>First-time Weekender on 4 Jul; dates ambiguous</t>
        </is>
      </c>
    </row>
    <row r="31" ht="23.85" customHeight="1" s="1">
      <c r="A31" s="3" t="inlineStr">
        <is>
          <t>RB-030</t>
        </is>
      </c>
      <c r="B31" s="3" t="inlineStr">
        <is>
          <t>Dance Your Style</t>
        </is>
      </c>
      <c r="C31" s="3" t="inlineStr">
        <is>
          <t>national final</t>
        </is>
      </c>
      <c r="D31" s="3" t="inlineStr">
        <is>
          <t>Hamburg</t>
        </is>
      </c>
      <c r="E31" s="3" t="inlineStr">
        <is>
          <t>Germany</t>
        </is>
      </c>
      <c r="F31" s="3" t="inlineStr">
        <is>
          <t>2026-08-02</t>
        </is>
      </c>
      <c r="G31" s="3" t="inlineStr">
        <is>
          <t>Inselpark Arena</t>
        </is>
      </c>
      <c r="H31" s="3" t="inlineStr">
        <is>
          <t>URB-MIX</t>
        </is>
      </c>
      <c r="I31" s="3" t="inlineStr">
        <is>
          <t>stated</t>
        </is>
      </c>
      <c r="J31" s="3" t="inlineStr">
        <is>
          <t>https://www.redbull.com/int-en/event-series/red-bull-dance-your-style</t>
        </is>
      </c>
      <c r="K31" s="3" t="inlineStr">
        <is>
          <t>2026-10-19</t>
        </is>
      </c>
      <c r="L31" s="3" t="n"/>
    </row>
    <row r="32" ht="46.2" customHeight="1" s="1">
      <c r="A32" s="3" t="inlineStr">
        <is>
          <t>RB-031</t>
        </is>
      </c>
      <c r="B32" s="3" t="inlineStr">
        <is>
          <t>Dance Your Style</t>
        </is>
      </c>
      <c r="C32" s="3" t="inlineStr">
        <is>
          <t>national final</t>
        </is>
      </c>
      <c r="D32" s="3" t="inlineStr">
        <is>
          <t>Vienna</t>
        </is>
      </c>
      <c r="E32" s="3" t="inlineStr">
        <is>
          <t>Austria</t>
        </is>
      </c>
      <c r="F32" s="3" t="inlineStr">
        <is>
          <t>2026-08-28</t>
        </is>
      </c>
      <c r="G32" s="3" t="inlineStr">
        <is>
          <t>Gloriette, Schoenbrunn</t>
        </is>
      </c>
      <c r="H32" s="3" t="inlineStr">
        <is>
          <t>URB-MIX</t>
        </is>
      </c>
      <c r="I32" s="3" t="inlineStr">
        <is>
          <t>stated</t>
        </is>
      </c>
      <c r="J32" s="3" t="inlineStr">
        <is>
          <t>https://www.redbull.com/int-en/event-series/red-bull-dance-your-style ; https://www.vienna.at/red-bull-dance-your-style-2026-national-final-for-the-first-time-at-the-gloriette-in-vienna/10240406</t>
        </is>
      </c>
      <c r="K32" s="3" t="inlineStr">
        <is>
          <t>2026-10-19</t>
        </is>
      </c>
      <c r="L32" s="3" t="inlineStr">
        <is>
          <t>16 dancers; first time at this venue</t>
        </is>
      </c>
    </row>
    <row r="33" ht="35.1" customHeight="1" s="1">
      <c r="A33" s="3" t="inlineStr">
        <is>
          <t>RB-032</t>
        </is>
      </c>
      <c r="B33" s="3" t="inlineStr">
        <is>
          <t>Dance Your Style</t>
        </is>
      </c>
      <c r="C33" s="3" t="inlineStr">
        <is>
          <t>qualifier</t>
        </is>
      </c>
      <c r="D33" s="3" t="inlineStr">
        <is>
          <t>Salzburg</t>
        </is>
      </c>
      <c r="E33" s="3" t="inlineStr">
        <is>
          <t>Austria</t>
        </is>
      </c>
      <c r="F33" s="3" t="inlineStr">
        <is>
          <t>2026-07-04</t>
        </is>
      </c>
      <c r="G33" s="3" t="inlineStr">
        <is>
          <t>Domquartier</t>
        </is>
      </c>
      <c r="H33" s="3" t="inlineStr">
        <is>
          <t>URB-MIX</t>
        </is>
      </c>
      <c r="I33" s="3" t="inlineStr">
        <is>
          <t>stated</t>
        </is>
      </c>
      <c r="J33" s="3" t="inlineStr">
        <is>
          <t>https://www.vienna.at/red-bull-dance-your-style-2026-national-final-for-the-first-time-at-the-gloriette-in-vienna/10240406</t>
        </is>
      </c>
      <c r="K33" s="3" t="inlineStr">
        <is>
          <t>2026-10-19</t>
        </is>
      </c>
      <c r="L33" s="3" t="inlineStr">
        <is>
          <t>Last 4 of 16 places awarded here</t>
        </is>
      </c>
    </row>
    <row r="34" ht="35.1" customHeight="1" s="1">
      <c r="A34" s="3" t="inlineStr">
        <is>
          <t>RB-033</t>
        </is>
      </c>
      <c r="B34" s="3" t="inlineStr">
        <is>
          <t>Dance Your Style</t>
        </is>
      </c>
      <c r="C34" s="3" t="inlineStr">
        <is>
          <t>tour stop</t>
        </is>
      </c>
      <c r="D34" s="3" t="inlineStr">
        <is>
          <t>Vienna</t>
        </is>
      </c>
      <c r="E34" s="3" t="inlineStr">
        <is>
          <t>Austria</t>
        </is>
      </c>
      <c r="F34" s="3" t="inlineStr">
        <is>
          <t>2026-06-28 to 2026-07-04 (range)</t>
        </is>
      </c>
      <c r="G34" s="3" t="n"/>
      <c r="H34" s="3" t="inlineStr">
        <is>
          <t>URB-MIX</t>
        </is>
      </c>
      <c r="I34" s="3" t="inlineStr">
        <is>
          <t>stated</t>
        </is>
      </c>
      <c r="J34" s="3" t="inlineStr">
        <is>
          <t>https://www.vienna.at/red-bull-dance-your-style-2026-national-final-for-the-first-time-at-the-gloriette-in-vienna/10240406</t>
        </is>
      </c>
      <c r="K34" s="3" t="inlineStr">
        <is>
          <t>2026-10-19</t>
        </is>
      </c>
      <c r="L34" s="3" t="inlineStr">
        <is>
          <t>Article says tour stops 'including' Salzburg, Vienna, Red Bull Ring; other stops may exist</t>
        </is>
      </c>
    </row>
    <row r="35" ht="35.1" customHeight="1" s="1">
      <c r="A35" s="3" t="inlineStr">
        <is>
          <t>RB-034</t>
        </is>
      </c>
      <c r="B35" s="3" t="inlineStr">
        <is>
          <t>Dance Your Style</t>
        </is>
      </c>
      <c r="C35" s="3" t="inlineStr">
        <is>
          <t>tour stop</t>
        </is>
      </c>
      <c r="D35" s="3" t="inlineStr">
        <is>
          <t>Spielberg (Red Bull Ring)</t>
        </is>
      </c>
      <c r="E35" s="3" t="inlineStr">
        <is>
          <t>Austria</t>
        </is>
      </c>
      <c r="F35" s="3" t="inlineStr">
        <is>
          <t>2026-06-28 to 2026-07-04 (range)</t>
        </is>
      </c>
      <c r="G35" s="3" t="inlineStr">
        <is>
          <t>Red Bull Ring</t>
        </is>
      </c>
      <c r="H35" s="3" t="inlineStr">
        <is>
          <t>URB-MIX</t>
        </is>
      </c>
      <c r="I35" s="3" t="inlineStr">
        <is>
          <t>stated</t>
        </is>
      </c>
      <c r="J35" s="3" t="inlineStr">
        <is>
          <t>https://www.vienna.at/red-bull-dance-your-style-2026-national-final-for-the-first-time-at-the-gloriette-in-vienna/10240406</t>
        </is>
      </c>
      <c r="K35" s="3" t="inlineStr">
        <is>
          <t>2026-10-19</t>
        </is>
      </c>
      <c r="L35" s="3" t="inlineStr">
        <is>
          <t>Same range as above; exact date not stated</t>
        </is>
      </c>
    </row>
    <row r="36" ht="23.85" customHeight="1" s="1">
      <c r="A36" s="3" t="inlineStr">
        <is>
          <t>RB-035</t>
        </is>
      </c>
      <c r="B36" s="3" t="inlineStr">
        <is>
          <t>Dance Your Style</t>
        </is>
      </c>
      <c r="C36" s="3" t="inlineStr">
        <is>
          <t>final</t>
        </is>
      </c>
      <c r="D36" s="3" t="inlineStr">
        <is>
          <t>Helsinki</t>
        </is>
      </c>
      <c r="E36" s="3" t="inlineStr">
        <is>
          <t>Finland</t>
        </is>
      </c>
      <c r="F36" s="3" t="inlineStr">
        <is>
          <t>2026-09-05</t>
        </is>
      </c>
      <c r="G36" s="3" t="inlineStr">
        <is>
          <t>Senaatintori</t>
        </is>
      </c>
      <c r="H36" s="3" t="inlineStr">
        <is>
          <t>URB-MIX</t>
        </is>
      </c>
      <c r="I36" s="3" t="inlineStr">
        <is>
          <t>stated</t>
        </is>
      </c>
      <c r="J36" s="3" t="inlineStr">
        <is>
          <t>https://www.redbull.com/int-en/event-series/red-bull-dance-your-style</t>
        </is>
      </c>
      <c r="K36" s="3" t="inlineStr">
        <is>
          <t>2026-10-19</t>
        </is>
      </c>
      <c r="L36" s="3" t="inlineStr">
        <is>
          <t>Finnish final also lists Oulu</t>
        </is>
      </c>
    </row>
    <row r="37" ht="23.85" customHeight="1" s="1">
      <c r="A37" s="3" t="inlineStr">
        <is>
          <t>RB-036</t>
        </is>
      </c>
      <c r="B37" s="3" t="inlineStr">
        <is>
          <t>Dance Your Style</t>
        </is>
      </c>
      <c r="C37" s="3" t="inlineStr">
        <is>
          <t>final</t>
        </is>
      </c>
      <c r="D37" s="3" t="inlineStr">
        <is>
          <t>Oulu</t>
        </is>
      </c>
      <c r="E37" s="3" t="inlineStr">
        <is>
          <t>Finland</t>
        </is>
      </c>
      <c r="F37" s="3" t="inlineStr">
        <is>
          <t>2026-09-05</t>
        </is>
      </c>
      <c r="G37" s="3" t="n"/>
      <c r="H37" s="3" t="inlineStr">
        <is>
          <t>URB-MIX</t>
        </is>
      </c>
      <c r="I37" s="3" t="inlineStr">
        <is>
          <t>stated</t>
        </is>
      </c>
      <c r="J37" s="3" t="inlineStr">
        <is>
          <t>https://www.redbull.com/int-en/event-series/red-bull-dance-your-style</t>
        </is>
      </c>
      <c r="K37" s="3" t="inlineStr">
        <is>
          <t>2026-10-19</t>
        </is>
      </c>
      <c r="L37" s="3" t="inlineStr">
        <is>
          <t>Listed together with Helsinki</t>
        </is>
      </c>
    </row>
    <row r="38" ht="23.85" customHeight="1" s="1">
      <c r="A38" s="3" t="inlineStr">
        <is>
          <t>RB-037</t>
        </is>
      </c>
      <c r="B38" s="3" t="inlineStr">
        <is>
          <t>Dance Your Style</t>
        </is>
      </c>
      <c r="C38" s="3" t="inlineStr">
        <is>
          <t>final</t>
        </is>
      </c>
      <c r="D38" s="3" t="inlineStr">
        <is>
          <t>Montpellier</t>
        </is>
      </c>
      <c r="E38" s="3" t="inlineStr">
        <is>
          <t>France</t>
        </is>
      </c>
      <c r="F38" s="3" t="inlineStr">
        <is>
          <t>2026-09-23 to 2026-09-26</t>
        </is>
      </c>
      <c r="G38" s="3" t="n"/>
      <c r="H38" s="3" t="inlineStr">
        <is>
          <t>URB-MIX</t>
        </is>
      </c>
      <c r="I38" s="3" t="inlineStr">
        <is>
          <t>stated</t>
        </is>
      </c>
      <c r="J38" s="3" t="inlineStr">
        <is>
          <t>https://www.redbull.com/int-en/event-series/red-bull-dance-your-style</t>
        </is>
      </c>
      <c r="K38" s="3" t="inlineStr">
        <is>
          <t>2026-10-19</t>
        </is>
      </c>
      <c r="L38" s="3" t="inlineStr">
        <is>
          <t>Free qualifier tickets and pre-selection mentioned; A1 gives final date 26 Sep</t>
        </is>
      </c>
    </row>
    <row r="39" ht="23.85" customHeight="1" s="1">
      <c r="A39" s="3" t="inlineStr">
        <is>
          <t>RB-038</t>
        </is>
      </c>
      <c r="B39" s="3" t="inlineStr">
        <is>
          <t>Dance Your Style</t>
        </is>
      </c>
      <c r="C39" s="3" t="inlineStr">
        <is>
          <t>national final</t>
        </is>
      </c>
      <c r="D39" s="3" t="inlineStr">
        <is>
          <t>Lisbon</t>
        </is>
      </c>
      <c r="E39" s="3" t="inlineStr">
        <is>
          <t>Portugal</t>
        </is>
      </c>
      <c r="F39" s="3" t="inlineStr">
        <is>
          <t>2026-09-05</t>
        </is>
      </c>
      <c r="G39" s="3" t="inlineStr">
        <is>
          <t>MAAT Central</t>
        </is>
      </c>
      <c r="H39" s="3" t="inlineStr">
        <is>
          <t>URB-MIX</t>
        </is>
      </c>
      <c r="I39" s="3" t="inlineStr">
        <is>
          <t>inferred from venue</t>
        </is>
      </c>
      <c r="J39" s="3" t="inlineStr">
        <is>
          <t>https://www.redbull.com/int-en/event-series/red-bull-dance-your-style</t>
        </is>
      </c>
      <c r="K39" s="3" t="inlineStr">
        <is>
          <t>2026-10-19</t>
        </is>
      </c>
      <c r="L39" s="3" t="inlineStr">
        <is>
          <t>Page describes this as a past edition; year to verify</t>
        </is>
      </c>
    </row>
    <row r="40" ht="23.85" customHeight="1" s="1">
      <c r="A40" s="3" t="inlineStr">
        <is>
          <t>RB-039</t>
        </is>
      </c>
      <c r="B40" s="3" t="inlineStr">
        <is>
          <t>Dance Your Style</t>
        </is>
      </c>
      <c r="C40" s="3" t="inlineStr">
        <is>
          <t>national final</t>
        </is>
      </c>
      <c r="D40" s="3" t="inlineStr">
        <is>
          <t>Manila (metro)</t>
        </is>
      </c>
      <c r="E40" s="3" t="inlineStr">
        <is>
          <t>Philippines</t>
        </is>
      </c>
      <c r="F40" s="3" t="inlineStr">
        <is>
          <t>2026-01-16 to 2026-04-11</t>
        </is>
      </c>
      <c r="G40" s="3" t="inlineStr">
        <is>
          <t>Bridgetowne Concert Grounds</t>
        </is>
      </c>
      <c r="H40" s="3" t="inlineStr">
        <is>
          <t>URB-MIX</t>
        </is>
      </c>
      <c r="I40" s="3" t="inlineStr">
        <is>
          <t>inferred from venue</t>
        </is>
      </c>
      <c r="J40" s="3" t="inlineStr">
        <is>
          <t>https://www.redbull.com/int-en/event-series/red-bull-dance-your-style</t>
        </is>
      </c>
      <c r="K40" s="3" t="inlineStr">
        <is>
          <t>2026-10-19</t>
        </is>
      </c>
      <c r="L40" s="3" t="n"/>
    </row>
    <row r="41" ht="23.85" customHeight="1" s="1">
      <c r="A41" s="3" t="inlineStr">
        <is>
          <t>RB-040</t>
        </is>
      </c>
      <c r="B41" s="3" t="inlineStr">
        <is>
          <t>Dance Your Style</t>
        </is>
      </c>
      <c r="C41" s="3" t="inlineStr">
        <is>
          <t>national final</t>
        </is>
      </c>
      <c r="D41" s="3" t="inlineStr">
        <is>
          <t>Sao Paulo</t>
        </is>
      </c>
      <c r="E41" s="3" t="inlineStr">
        <is>
          <t>Brazil</t>
        </is>
      </c>
      <c r="F41" s="3" t="inlineStr">
        <is>
          <t>2026-03-28 to 2026-05-02</t>
        </is>
      </c>
      <c r="G41" s="3" t="inlineStr">
        <is>
          <t>TBA</t>
        </is>
      </c>
      <c r="H41" s="3" t="inlineStr">
        <is>
          <t>URB-MIX</t>
        </is>
      </c>
      <c r="I41" s="3" t="inlineStr">
        <is>
          <t>inferred from A1 (not re-verified)</t>
        </is>
      </c>
      <c r="J41" s="3" t="inlineStr">
        <is>
          <t>https://www.redbull.com/int-en/event-series/red-bull-dance-your-style</t>
        </is>
      </c>
      <c r="K41" s="3" t="inlineStr">
        <is>
          <t>2026-10-19</t>
        </is>
      </c>
      <c r="L41" s="3" t="n"/>
    </row>
    <row r="42" ht="23.85" customHeight="1" s="1">
      <c r="A42" s="3" t="inlineStr">
        <is>
          <t>RB-041</t>
        </is>
      </c>
      <c r="B42" s="3" t="inlineStr">
        <is>
          <t>Dance Your Style</t>
        </is>
      </c>
      <c r="C42" s="3" t="inlineStr">
        <is>
          <t>national final</t>
        </is>
      </c>
      <c r="D42" s="3" t="inlineStr">
        <is>
          <t>Nairobi</t>
        </is>
      </c>
      <c r="E42" s="3" t="inlineStr">
        <is>
          <t>Kenya</t>
        </is>
      </c>
      <c r="F42" s="3" t="inlineStr">
        <is>
          <t>2026-03-31 to 2026-05-24</t>
        </is>
      </c>
      <c r="G42" s="3" t="inlineStr">
        <is>
          <t>TBA</t>
        </is>
      </c>
      <c r="H42" s="3" t="inlineStr">
        <is>
          <t>URB-MIX</t>
        </is>
      </c>
      <c r="I42" s="3" t="inlineStr">
        <is>
          <t>inferred from A1 (not re-verified)</t>
        </is>
      </c>
      <c r="J42" s="3" t="inlineStr">
        <is>
          <t>https://www.redbull.com/int-en/event-series/red-bull-dance-your-style</t>
        </is>
      </c>
      <c r="K42" s="3" t="inlineStr">
        <is>
          <t>2026-10-19</t>
        </is>
      </c>
      <c r="L42" s="3" t="n"/>
    </row>
    <row r="43" ht="23.85" customHeight="1" s="1">
      <c r="A43" s="3" t="inlineStr">
        <is>
          <t>RB-042</t>
        </is>
      </c>
      <c r="B43" s="3" t="inlineStr">
        <is>
          <t>Dance Your Style</t>
        </is>
      </c>
      <c r="C43" s="3" t="inlineStr">
        <is>
          <t>national final</t>
        </is>
      </c>
      <c r="D43" s="3" t="n"/>
      <c r="E43" s="3" t="inlineStr">
        <is>
          <t>New Zealand</t>
        </is>
      </c>
      <c r="F43" s="3" t="inlineStr">
        <is>
          <t>2026-04-18</t>
        </is>
      </c>
      <c r="G43" s="3" t="inlineStr">
        <is>
          <t>Queens Wharf</t>
        </is>
      </c>
      <c r="H43" s="3" t="inlineStr">
        <is>
          <t>URB-MIX</t>
        </is>
      </c>
      <c r="I43" s="3" t="inlineStr">
        <is>
          <t>country only</t>
        </is>
      </c>
      <c r="J43" s="3" t="inlineStr">
        <is>
          <t>https://www.redbull.com/int-en/event-series/red-bull-dance-your-style</t>
        </is>
      </c>
      <c r="K43" s="3" t="inlineStr">
        <is>
          <t>2026-10-19</t>
        </is>
      </c>
      <c r="L43" s="3" t="n"/>
    </row>
    <row r="44" ht="23.85" customHeight="1" s="1">
      <c r="A44" s="3" t="inlineStr">
        <is>
          <t>RB-043</t>
        </is>
      </c>
      <c r="B44" s="3" t="inlineStr">
        <is>
          <t>Dance Your Style</t>
        </is>
      </c>
      <c r="C44" s="3" t="inlineStr">
        <is>
          <t>national final</t>
        </is>
      </c>
      <c r="D44" s="3" t="inlineStr">
        <is>
          <t>Lagos</t>
        </is>
      </c>
      <c r="E44" s="3" t="inlineStr">
        <is>
          <t>Nigeria</t>
        </is>
      </c>
      <c r="F44" s="3" t="inlineStr">
        <is>
          <t>2026-06-28</t>
        </is>
      </c>
      <c r="G44" s="3" t="n"/>
      <c r="H44" s="3" t="inlineStr">
        <is>
          <t>URB-MIX</t>
        </is>
      </c>
      <c r="I44" s="3" t="inlineStr">
        <is>
          <t>inferred from A1 (not re-verified)</t>
        </is>
      </c>
      <c r="J44" s="3" t="inlineStr">
        <is>
          <t>https://www.redbull.com/int-en/event-series/red-bull-dance-your-style</t>
        </is>
      </c>
      <c r="K44" s="3" t="inlineStr">
        <is>
          <t>2026-10-19</t>
        </is>
      </c>
      <c r="L44" s="3" t="n"/>
    </row>
    <row r="45" ht="23.85" customHeight="1" s="1">
      <c r="A45" s="3" t="inlineStr">
        <is>
          <t>RB-044</t>
        </is>
      </c>
      <c r="B45" s="3" t="inlineStr">
        <is>
          <t>Dance Your Style</t>
        </is>
      </c>
      <c r="C45" s="3" t="inlineStr">
        <is>
          <t>national final</t>
        </is>
      </c>
      <c r="D45" s="3" t="inlineStr">
        <is>
          <t>Tbilisi</t>
        </is>
      </c>
      <c r="E45" s="3" t="inlineStr">
        <is>
          <t>Georgia</t>
        </is>
      </c>
      <c r="F45" s="3" t="inlineStr">
        <is>
          <t>2026-07-12</t>
        </is>
      </c>
      <c r="G45" s="3" t="n"/>
      <c r="H45" s="3" t="inlineStr">
        <is>
          <t>URB-MIX</t>
        </is>
      </c>
      <c r="I45" s="3" t="inlineStr">
        <is>
          <t>inferred from A1 (not re-verified)</t>
        </is>
      </c>
      <c r="J45" s="3" t="inlineStr">
        <is>
          <t>https://www.redbull.com/int-en/event-series/red-bull-dance-your-style</t>
        </is>
      </c>
      <c r="K45" s="3" t="inlineStr">
        <is>
          <t>2026-10-19</t>
        </is>
      </c>
      <c r="L45" s="3" t="n"/>
    </row>
    <row r="46" ht="23.85" customHeight="1" s="1">
      <c r="A46" s="3" t="inlineStr">
        <is>
          <t>RB-045</t>
        </is>
      </c>
      <c r="B46" s="3" t="inlineStr">
        <is>
          <t>Dance Your Style</t>
        </is>
      </c>
      <c r="C46" s="3" t="inlineStr">
        <is>
          <t>national final</t>
        </is>
      </c>
      <c r="D46" s="3" t="inlineStr">
        <is>
          <t>Sydney</t>
        </is>
      </c>
      <c r="E46" s="3" t="inlineStr">
        <is>
          <t>Australia</t>
        </is>
      </c>
      <c r="F46" s="3" t="inlineStr">
        <is>
          <t>2026-07-25</t>
        </is>
      </c>
      <c r="G46" s="3" t="inlineStr">
        <is>
          <t>The Hordern Pavilion</t>
        </is>
      </c>
      <c r="H46" s="3" t="inlineStr">
        <is>
          <t>URB-MIX</t>
        </is>
      </c>
      <c r="I46" s="3" t="inlineStr">
        <is>
          <t>inferred from A1 (not re-verified)</t>
        </is>
      </c>
      <c r="J46" s="3" t="inlineStr">
        <is>
          <t>https://www.redbull.com/int-en/event-series/red-bull-dance-your-style</t>
        </is>
      </c>
      <c r="K46" s="3" t="inlineStr">
        <is>
          <t>2026-10-19</t>
        </is>
      </c>
      <c r="L46" s="3" t="n"/>
    </row>
    <row r="47" ht="23.85" customHeight="1" s="1">
      <c r="A47" s="3" t="inlineStr">
        <is>
          <t>RB-046</t>
        </is>
      </c>
      <c r="B47" s="3" t="inlineStr">
        <is>
          <t>Dance Your Style</t>
        </is>
      </c>
      <c r="C47" s="3" t="inlineStr">
        <is>
          <t>national final</t>
        </is>
      </c>
      <c r="D47" s="3" t="inlineStr">
        <is>
          <t>Karaganda</t>
        </is>
      </c>
      <c r="E47" s="3" t="inlineStr">
        <is>
          <t>Kazakhstan</t>
        </is>
      </c>
      <c r="F47" s="3" t="inlineStr">
        <is>
          <t>2026-08-30</t>
        </is>
      </c>
      <c r="G47" s="3" t="inlineStr">
        <is>
          <t>TBA</t>
        </is>
      </c>
      <c r="H47" s="3" t="inlineStr">
        <is>
          <t>URB-MIX</t>
        </is>
      </c>
      <c r="I47" s="3" t="inlineStr">
        <is>
          <t>inferred from A1 (not re-verified)</t>
        </is>
      </c>
      <c r="J47" s="3" t="inlineStr">
        <is>
          <t>https://www.redbull.com/int-en/event-series/red-bull-dance-your-style</t>
        </is>
      </c>
      <c r="K47" s="3" t="inlineStr">
        <is>
          <t>2026-10-19</t>
        </is>
      </c>
      <c r="L47" s="3" t="n"/>
    </row>
    <row r="48" ht="23.85" customHeight="1" s="1">
      <c r="A48" s="3" t="inlineStr">
        <is>
          <t>RB-047</t>
        </is>
      </c>
      <c r="B48" s="3" t="inlineStr">
        <is>
          <t>Dance Your Style</t>
        </is>
      </c>
      <c r="C48" s="3" t="inlineStr">
        <is>
          <t>national final</t>
        </is>
      </c>
      <c r="D48" s="3" t="n"/>
      <c r="E48" s="3" t="inlineStr">
        <is>
          <t>Mauritius</t>
        </is>
      </c>
      <c r="F48" s="3" t="inlineStr">
        <is>
          <t>2026-09-26</t>
        </is>
      </c>
      <c r="G48" s="3" t="inlineStr">
        <is>
          <t>TBA</t>
        </is>
      </c>
      <c r="H48" s="3" t="inlineStr">
        <is>
          <t>URB-MIX</t>
        </is>
      </c>
      <c r="I48" s="3" t="inlineStr">
        <is>
          <t>country only</t>
        </is>
      </c>
      <c r="J48" s="3" t="inlineStr">
        <is>
          <t>https://www.redbull.com/int-en/event-series/red-bull-dance-your-style</t>
        </is>
      </c>
      <c r="K48" s="3" t="inlineStr">
        <is>
          <t>2026-10-19</t>
        </is>
      </c>
      <c r="L48" s="3" t="n"/>
    </row>
    <row r="49">
      <c r="A49" t="inlineStr">
        <is>
          <t>RB-048</t>
        </is>
      </c>
      <c r="B49" t="inlineStr">
        <is>
          <t>BC One</t>
        </is>
      </c>
      <c r="C49" t="inlineStr">
        <is>
          <t>world final</t>
        </is>
      </c>
      <c r="D49" t="inlineStr">
        <is>
          <t>Rio de Janeiro</t>
        </is>
      </c>
      <c r="E49" t="inlineStr">
        <is>
          <t>Brazil</t>
        </is>
      </c>
      <c r="F49" t="inlineStr">
        <is>
          <t>2024-12-07</t>
        </is>
      </c>
      <c r="H49" t="inlineStr">
        <is>
          <t>URB-BRK</t>
        </is>
      </c>
      <c r="I49" t="inlineStr">
        <is>
          <t>stated</t>
        </is>
      </c>
      <c r="J49" t="inlineStr">
        <is>
          <t>https://en.wikipedia.org/wiki/Red_Bull_BC_One</t>
        </is>
      </c>
      <c r="K49" t="inlineStr">
        <is>
          <t>2026-10-19</t>
        </is>
      </c>
      <c r="L49" t="inlineStr">
        <is>
          <t>historical row from A2 research; Wikipedia accessed 2026-10-19; primary redbull.com page not re-verified (JS)</t>
        </is>
      </c>
    </row>
    <row r="50">
      <c r="A50" t="inlineStr">
        <is>
          <t>RB-049</t>
        </is>
      </c>
      <c r="B50" t="inlineStr">
        <is>
          <t>BC One</t>
        </is>
      </c>
      <c r="C50" t="inlineStr">
        <is>
          <t>world final</t>
        </is>
      </c>
      <c r="D50" t="inlineStr">
        <is>
          <t>Tokyo</t>
        </is>
      </c>
      <c r="E50" t="inlineStr">
        <is>
          <t>Japan</t>
        </is>
      </c>
      <c r="F50" t="inlineStr">
        <is>
          <t>2025-11-09</t>
        </is>
      </c>
      <c r="H50" t="inlineStr">
        <is>
          <t>URB-BRK</t>
        </is>
      </c>
      <c r="I50" t="inlineStr">
        <is>
          <t>stated</t>
        </is>
      </c>
      <c r="J50" t="inlineStr">
        <is>
          <t>https://en.wikipedia.org/wiki/Red_Bull_BC_One</t>
        </is>
      </c>
      <c r="K50" t="inlineStr">
        <is>
          <t>2026-10-19</t>
        </is>
      </c>
      <c r="L50" t="inlineStr">
        <is>
          <t>historical row from A2 research; Wikipedia accessed 2026-10-19 (Tokyo, 9 Nov 2025)</t>
        </is>
      </c>
    </row>
    <row r="51">
      <c r="A51" t="inlineStr">
        <is>
          <t>RB-050</t>
        </is>
      </c>
      <c r="B51" t="inlineStr">
        <is>
          <t>Dance Your Style</t>
        </is>
      </c>
      <c r="C51" t="inlineStr">
        <is>
          <t>world final</t>
        </is>
      </c>
      <c r="D51" t="inlineStr">
        <is>
          <t>Mumbai</t>
        </is>
      </c>
      <c r="E51" t="inlineStr">
        <is>
          <t>India</t>
        </is>
      </c>
      <c r="F51" t="inlineStr">
        <is>
          <t>2024 (date not captured)</t>
        </is>
      </c>
      <c r="H51" t="inlineStr">
        <is>
          <t>URB-MIX</t>
        </is>
      </c>
      <c r="I51" t="inlineStr">
        <is>
          <t>stated</t>
        </is>
      </c>
      <c r="J51" t="inlineStr">
        <is>
          <t>https://www.redbull.com/int-en/event-series/dance-your-style/red-bull-dance-your-style-winners</t>
        </is>
      </c>
      <c r="K51" t="inlineStr">
        <is>
          <t>2026-10-19</t>
        </is>
      </c>
      <c r="L51" t="inlineStr">
        <is>
          <t>MT Pop won; winners page cited by A1 (not re-verified)</t>
        </is>
      </c>
    </row>
    <row r="52">
      <c r="A52" t="inlineStr">
        <is>
          <t>RB-051</t>
        </is>
      </c>
      <c r="B52" t="inlineStr">
        <is>
          <t>Dance Your Style</t>
        </is>
      </c>
      <c r="C52" t="inlineStr">
        <is>
          <t>world final</t>
        </is>
      </c>
      <c r="D52" t="inlineStr">
        <is>
          <t>Los Angeles</t>
        </is>
      </c>
      <c r="E52" t="inlineStr">
        <is>
          <t>USA</t>
        </is>
      </c>
      <c r="F52" t="inlineStr">
        <is>
          <t>2025 (date not captured)</t>
        </is>
      </c>
      <c r="H52" t="inlineStr">
        <is>
          <t>URB-MIX</t>
        </is>
      </c>
      <c r="I52" t="inlineStr">
        <is>
          <t>stated</t>
        </is>
      </c>
      <c r="J52" t="inlineStr">
        <is>
          <t>https://www.redbull.com/int-en/event-series/dance-your-style/red-bull-dance-your-style-winners</t>
        </is>
      </c>
      <c r="K52" t="inlineStr">
        <is>
          <t>2026-10-19</t>
        </is>
      </c>
      <c r="L52" t="inlineStr">
        <is>
          <t>Jaira Joy won; winners page cited by A1 (not re-verified)</t>
        </is>
      </c>
    </row>
  </sheetData>
  <autoFilter ref="A1:L48"/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640625" defaultRowHeight="14.4"/>
  <cols>
    <col width="10" customWidth="1" style="1" min="1" max="1"/>
    <col width="12" customWidth="1" style="1" min="2" max="2"/>
    <col width="26" customWidth="1" style="1" min="3" max="3"/>
    <col width="14" customWidth="1" style="1" min="4" max="4"/>
    <col width="40" customWidth="1" style="1" min="5" max="6"/>
    <col width="70" customWidth="1" style="1" min="7" max="7"/>
  </cols>
  <sheetData>
    <row r="1" ht="30" customHeight="1" s="1">
      <c r="A1" s="5" t="inlineStr">
        <is>
          <t>city_id</t>
        </is>
      </c>
      <c r="B1" s="5" t="inlineStr">
        <is>
          <t>disc_id</t>
        </is>
      </c>
      <c r="C1" s="5" t="inlineStr">
        <is>
          <t>rung</t>
        </is>
      </c>
      <c r="D1" s="5" t="inlineStr">
        <is>
          <t>present (Y/N/?)</t>
        </is>
      </c>
      <c r="E1" s="5" t="inlineStr">
        <is>
          <t>example</t>
        </is>
      </c>
      <c r="F1" s="5" t="inlineStr">
        <is>
          <t>source_url</t>
        </is>
      </c>
      <c r="G1" s="5" t="inlineStr">
        <is>
          <t>notes</t>
        </is>
      </c>
    </row>
    <row r="2" ht="23.85" customHeight="1" s="1">
      <c r="A2" s="6" t="inlineStr">
        <is>
          <t>EXAMPLE</t>
        </is>
      </c>
      <c r="B2" s="6" t="inlineStr">
        <is>
          <t>URB-HIP</t>
        </is>
      </c>
      <c r="C2" s="6" t="inlineStr">
        <is>
          <t>1 class</t>
        </is>
      </c>
      <c r="D2" s="6" t="inlineStr">
        <is>
          <t>?</t>
        </is>
      </c>
      <c r="E2" s="6" t="inlineStr">
        <is>
          <t>format only</t>
        </is>
      </c>
      <c r="F2" s="6" t="n"/>
      <c r="G2" s="6" t="inlineStr">
        <is>
          <t>Delete before use; rungs: 1 class, 2 social/jam, 3 local battle or show, 4 national competition, 5 international competition</t>
        </is>
      </c>
    </row>
  </sheetData>
  <autoFilter ref="A1:G2"/>
  <dataValidations count="1">
    <dataValidation sqref="D2:D1002" showDropDown="0" showInputMessage="0" showErrorMessage="0" allowBlank="1" type="list">
      <formula1>"Y,N,?"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640625" defaultRowHeight="14.4"/>
  <cols>
    <col width="10" customWidth="1" style="1" min="1" max="1"/>
    <col width="22" customWidth="1" style="1" min="2" max="2"/>
    <col width="12" customWidth="1" style="1" min="3" max="4"/>
    <col width="14" customWidth="1" style="1" min="5" max="6"/>
    <col width="16" customWidth="1" style="1" min="7" max="7"/>
    <col width="40" customWidth="1" style="1" min="8" max="8"/>
    <col width="14" customWidth="1" style="1" min="9" max="9"/>
    <col width="70" customWidth="1" style="1" min="10" max="10"/>
  </cols>
  <sheetData>
    <row r="1" ht="30" customHeight="1" s="1">
      <c r="A1" s="5" t="inlineStr">
        <is>
          <t>ath_id</t>
        </is>
      </c>
      <c r="B1" s="5" t="inlineStr">
        <is>
          <t>public_name</t>
        </is>
      </c>
      <c r="C1" s="5" t="inlineStr">
        <is>
          <t>disc_id</t>
        </is>
      </c>
      <c r="D1" s="5" t="inlineStr">
        <is>
          <t>base_city_id</t>
        </is>
      </c>
      <c r="E1" s="5" t="inlineStr">
        <is>
          <t>country</t>
        </is>
      </c>
      <c r="F1" s="5" t="inlineStr">
        <is>
          <t>level</t>
        </is>
      </c>
      <c r="G1" s="5" t="inlineStr">
        <is>
          <t>red_bull_athlete (Y/N/?)</t>
        </is>
      </c>
      <c r="H1" s="5" t="inlineStr">
        <is>
          <t>source_url</t>
        </is>
      </c>
      <c r="I1" s="5" t="inlineStr">
        <is>
          <t>date_accessed</t>
        </is>
      </c>
      <c r="J1" s="5" t="inlineStr">
        <is>
          <t>notes</t>
        </is>
      </c>
    </row>
    <row r="2" ht="23.85" customHeight="1" s="1">
      <c r="A2" s="6" t="inlineStr">
        <is>
          <t>EXAMPLE</t>
        </is>
      </c>
      <c r="B2" s="6" t="inlineStr">
        <is>
          <t>format only</t>
        </is>
      </c>
      <c r="C2" s="6" t="inlineStr">
        <is>
          <t>URB-HIP</t>
        </is>
      </c>
      <c r="D2" s="6" t="inlineStr">
        <is>
          <t>SBG</t>
        </is>
      </c>
      <c r="E2" s="6" t="inlineStr">
        <is>
          <t>Austria</t>
        </is>
      </c>
      <c r="F2" s="6" t="inlineStr">
        <is>
          <t>national</t>
        </is>
      </c>
      <c r="G2" s="6" t="inlineStr">
        <is>
          <t>?</t>
        </is>
      </c>
      <c r="H2" s="6" t="inlineStr">
        <is>
          <t>https://example.org</t>
        </is>
      </c>
      <c r="I2" s="6" t="inlineStr">
        <is>
          <t>2026-10-19</t>
        </is>
      </c>
      <c r="J2" s="6" t="inlineStr">
        <is>
          <t>Delete before use. Only publicly listed competitors and professionals; no private individuals, no contacts, no social profiles</t>
        </is>
      </c>
    </row>
  </sheetData>
  <autoFilter ref="A1:J2"/>
  <dataValidations count="1">
    <dataValidation sqref="G2:G1002" showDropDown="0" showInputMessage="0" showErrorMessage="0" allowBlank="1" type="list">
      <formula1>"Y,N,?"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1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640625" defaultRowHeight="14.4"/>
  <cols>
    <col width="9" customWidth="1" style="1" min="1" max="1"/>
    <col width="11" customWidth="1" style="1" min="2" max="2"/>
    <col width="10" customWidth="1" style="1" min="3" max="3"/>
    <col width="24" customWidth="1" style="1" min="4" max="4"/>
    <col width="60" customWidth="1" style="1" min="5" max="5"/>
    <col width="16" customWidth="1" style="1" min="6" max="6"/>
    <col width="12" customWidth="1" style="1" min="7" max="7"/>
    <col width="14" customWidth="1" style="1" min="8" max="8"/>
    <col width="18" customWidth="1" style="1" min="9" max="9"/>
    <col width="14" customWidth="1" style="1" min="10" max="10"/>
  </cols>
  <sheetData>
    <row r="1" ht="30" customHeight="1" s="1">
      <c r="A1" s="5" t="inlineStr">
        <is>
          <t>kw_id</t>
        </is>
      </c>
      <c r="B1" s="5" t="inlineStr">
        <is>
          <t>disc_id</t>
        </is>
      </c>
      <c r="C1" s="5" t="inlineStr">
        <is>
          <t>language</t>
        </is>
      </c>
      <c r="D1" s="5" t="inlineStr">
        <is>
          <t>keyword</t>
        </is>
      </c>
      <c r="E1" s="5" t="inlineStr">
        <is>
          <t>ambiguity_note</t>
        </is>
      </c>
      <c r="F1" s="5" t="inlineStr">
        <is>
          <t>source_tool</t>
        </is>
      </c>
      <c r="G1" s="5" t="inlineStr">
        <is>
          <t>geo</t>
        </is>
      </c>
      <c r="H1" s="5" t="inlineStr">
        <is>
          <t>period</t>
        </is>
      </c>
      <c r="I1" s="5" t="inlineStr">
        <is>
          <t>relative_index (fill)</t>
        </is>
      </c>
      <c r="J1" s="5" t="inlineStr">
        <is>
          <t>date_accessed</t>
        </is>
      </c>
    </row>
    <row r="2" ht="15" customHeight="1" s="1">
      <c r="A2" s="3" t="inlineStr">
        <is>
          <t>KW-001</t>
        </is>
      </c>
      <c r="B2" s="3" t="inlineStr">
        <is>
          <t>URB-BRK</t>
        </is>
      </c>
      <c r="C2" s="3" t="inlineStr">
        <is>
          <t>EN</t>
        </is>
      </c>
      <c r="D2" s="3" t="inlineStr">
        <is>
          <t>breakdance</t>
        </is>
      </c>
      <c r="E2" s="3" t="n"/>
      <c r="F2" s="3" t="inlineStr">
        <is>
          <t>Google Trends</t>
        </is>
      </c>
      <c r="G2" s="3" t="n"/>
      <c r="H2" s="3" t="n"/>
      <c r="I2" s="3" t="n"/>
      <c r="J2" s="3" t="n"/>
    </row>
    <row r="3" ht="15" customHeight="1" s="1">
      <c r="A3" s="3" t="inlineStr">
        <is>
          <t>KW-002</t>
        </is>
      </c>
      <c r="B3" s="3" t="inlineStr">
        <is>
          <t>URB-BRK</t>
        </is>
      </c>
      <c r="C3" s="3" t="inlineStr">
        <is>
          <t>DE</t>
        </is>
      </c>
      <c r="D3" s="3" t="inlineStr">
        <is>
          <t>breakdance</t>
        </is>
      </c>
      <c r="E3" s="3" t="n"/>
      <c r="F3" s="3" t="inlineStr">
        <is>
          <t>Google Trends</t>
        </is>
      </c>
      <c r="G3" s="3" t="n"/>
      <c r="H3" s="3" t="n"/>
      <c r="I3" s="3" t="n"/>
      <c r="J3" s="3" t="n"/>
    </row>
    <row r="4" ht="15" customHeight="1" s="1">
      <c r="A4" s="3" t="inlineStr">
        <is>
          <t>KW-003</t>
        </is>
      </c>
      <c r="B4" s="3" t="inlineStr">
        <is>
          <t>URB-BRK</t>
        </is>
      </c>
      <c r="C4" s="3" t="inlineStr">
        <is>
          <t>IT</t>
        </is>
      </c>
      <c r="D4" s="3" t="inlineStr">
        <is>
          <t>breakdance</t>
        </is>
      </c>
      <c r="E4" s="3" t="n"/>
      <c r="F4" s="3" t="inlineStr">
        <is>
          <t>Google Trends</t>
        </is>
      </c>
      <c r="G4" s="3" t="n"/>
      <c r="H4" s="3" t="n"/>
      <c r="I4" s="3" t="n"/>
      <c r="J4" s="3" t="n"/>
    </row>
    <row r="5" ht="15" customHeight="1" s="1">
      <c r="A5" s="3" t="inlineStr">
        <is>
          <t>KW-004</t>
        </is>
      </c>
      <c r="B5" s="3" t="inlineStr">
        <is>
          <t>URB-BRK</t>
        </is>
      </c>
      <c r="C5" s="3" t="inlineStr">
        <is>
          <t>ES</t>
        </is>
      </c>
      <c r="D5" s="3" t="inlineStr">
        <is>
          <t>breakdance</t>
        </is>
      </c>
      <c r="E5" s="3" t="n"/>
      <c r="F5" s="3" t="inlineStr">
        <is>
          <t>Google Trends</t>
        </is>
      </c>
      <c r="G5" s="3" t="n"/>
      <c r="H5" s="3" t="n"/>
      <c r="I5" s="3" t="n"/>
      <c r="J5" s="3" t="n"/>
    </row>
    <row r="6" ht="15" customHeight="1" s="1">
      <c r="A6" s="3" t="inlineStr">
        <is>
          <t>KW-005</t>
        </is>
      </c>
      <c r="B6" s="3" t="inlineStr">
        <is>
          <t>URB-BRK</t>
        </is>
      </c>
      <c r="C6" s="3" t="inlineStr">
        <is>
          <t>EN</t>
        </is>
      </c>
      <c r="D6" s="3" t="inlineStr">
        <is>
          <t>bboy</t>
        </is>
      </c>
      <c r="E6" s="3" t="n"/>
      <c r="F6" s="3" t="inlineStr">
        <is>
          <t>Google Trends</t>
        </is>
      </c>
      <c r="G6" s="3" t="n"/>
      <c r="H6" s="3" t="n"/>
      <c r="I6" s="3" t="n"/>
      <c r="J6" s="3" t="n"/>
    </row>
    <row r="7" ht="15" customHeight="1" s="1">
      <c r="A7" s="3" t="inlineStr">
        <is>
          <t>KW-006</t>
        </is>
      </c>
      <c r="B7" s="3" t="inlineStr">
        <is>
          <t>URB-BRK</t>
        </is>
      </c>
      <c r="C7" s="3" t="inlineStr">
        <is>
          <t>EN</t>
        </is>
      </c>
      <c r="D7" s="3" t="inlineStr">
        <is>
          <t>red bull bc one</t>
        </is>
      </c>
      <c r="E7" s="3" t="n"/>
      <c r="F7" s="3" t="inlineStr">
        <is>
          <t>Google Trends</t>
        </is>
      </c>
      <c r="G7" s="3" t="n"/>
      <c r="H7" s="3" t="n"/>
      <c r="I7" s="3" t="n"/>
      <c r="J7" s="3" t="n"/>
    </row>
    <row r="8" ht="15" customHeight="1" s="1">
      <c r="A8" s="3" t="inlineStr">
        <is>
          <t>KW-007</t>
        </is>
      </c>
      <c r="B8" s="3" t="inlineStr">
        <is>
          <t>URB-HIP</t>
        </is>
      </c>
      <c r="C8" s="3" t="inlineStr">
        <is>
          <t>EN</t>
        </is>
      </c>
      <c r="D8" s="3" t="inlineStr">
        <is>
          <t>hip hop dance</t>
        </is>
      </c>
      <c r="E8" s="3" t="inlineStr">
        <is>
          <t>May mix music and dance interest; compare with the dance-specific term</t>
        </is>
      </c>
      <c r="F8" s="3" t="inlineStr">
        <is>
          <t>Google Trends</t>
        </is>
      </c>
      <c r="G8" s="3" t="n"/>
      <c r="H8" s="3" t="n"/>
      <c r="I8" s="3" t="n"/>
      <c r="J8" s="3" t="n"/>
    </row>
    <row r="9" ht="15" customHeight="1" s="1">
      <c r="A9" s="3" t="inlineStr">
        <is>
          <t>KW-008</t>
        </is>
      </c>
      <c r="B9" s="3" t="inlineStr">
        <is>
          <t>URB-HIP</t>
        </is>
      </c>
      <c r="C9" s="3" t="inlineStr">
        <is>
          <t>DE</t>
        </is>
      </c>
      <c r="D9" s="3" t="inlineStr">
        <is>
          <t>hip hop tanzen</t>
        </is>
      </c>
      <c r="E9" s="3" t="inlineStr">
        <is>
          <t>May mix music and dance interest; compare with the dance-specific term</t>
        </is>
      </c>
      <c r="F9" s="3" t="inlineStr">
        <is>
          <t>Google Trends</t>
        </is>
      </c>
      <c r="G9" s="3" t="n"/>
      <c r="H9" s="3" t="n"/>
      <c r="I9" s="3" t="n"/>
      <c r="J9" s="3" t="n"/>
    </row>
    <row r="10" ht="15" customHeight="1" s="1">
      <c r="A10" s="3" t="inlineStr">
        <is>
          <t>KW-009</t>
        </is>
      </c>
      <c r="B10" s="3" t="inlineStr">
        <is>
          <t>URB-HIP</t>
        </is>
      </c>
      <c r="C10" s="3" t="inlineStr">
        <is>
          <t>IT</t>
        </is>
      </c>
      <c r="D10" s="3" t="inlineStr">
        <is>
          <t>corso hip hop</t>
        </is>
      </c>
      <c r="E10" s="3" t="inlineStr">
        <is>
          <t>May mix music and dance interest; compare with the dance-specific term</t>
        </is>
      </c>
      <c r="F10" s="3" t="inlineStr">
        <is>
          <t>Google Trends</t>
        </is>
      </c>
      <c r="G10" s="3" t="n"/>
      <c r="H10" s="3" t="n"/>
      <c r="I10" s="3" t="n"/>
      <c r="J10" s="3" t="n"/>
    </row>
    <row r="11" ht="15" customHeight="1" s="1">
      <c r="A11" s="3" t="inlineStr">
        <is>
          <t>KW-010</t>
        </is>
      </c>
      <c r="B11" s="3" t="inlineStr">
        <is>
          <t>URB-HIP</t>
        </is>
      </c>
      <c r="C11" s="3" t="inlineStr">
        <is>
          <t>ES</t>
        </is>
      </c>
      <c r="D11" s="3" t="inlineStr">
        <is>
          <t>clases de hip hop</t>
        </is>
      </c>
      <c r="E11" s="3" t="inlineStr">
        <is>
          <t>May mix music and dance interest; compare with the dance-specific term</t>
        </is>
      </c>
      <c r="F11" s="3" t="inlineStr">
        <is>
          <t>Google Trends</t>
        </is>
      </c>
      <c r="G11" s="3" t="n"/>
      <c r="H11" s="3" t="n"/>
      <c r="I11" s="3" t="n"/>
      <c r="J11" s="3" t="n"/>
    </row>
    <row r="12" ht="15" customHeight="1" s="1">
      <c r="A12" s="3" t="inlineStr">
        <is>
          <t>KW-011</t>
        </is>
      </c>
      <c r="B12" s="3" t="inlineStr">
        <is>
          <t>CAR-SAL</t>
        </is>
      </c>
      <c r="C12" s="3" t="inlineStr">
        <is>
          <t>EN</t>
        </is>
      </c>
      <c r="D12" s="3" t="inlineStr">
        <is>
          <t>salsa dancing</t>
        </is>
      </c>
      <c r="E12" s="3" t="inlineStr">
        <is>
          <t>'salsa' alone also means the sauce; always pair with a dance/class word</t>
        </is>
      </c>
      <c r="F12" s="3" t="inlineStr">
        <is>
          <t>Google Trends</t>
        </is>
      </c>
      <c r="G12" s="3" t="n"/>
      <c r="H12" s="3" t="n"/>
      <c r="I12" s="3" t="n"/>
      <c r="J12" s="3" t="n"/>
    </row>
    <row r="13" ht="15" customHeight="1" s="1">
      <c r="A13" s="3" t="inlineStr">
        <is>
          <t>KW-012</t>
        </is>
      </c>
      <c r="B13" s="3" t="inlineStr">
        <is>
          <t>CAR-SAL</t>
        </is>
      </c>
      <c r="C13" s="3" t="inlineStr">
        <is>
          <t>DE</t>
        </is>
      </c>
      <c r="D13" s="3" t="inlineStr">
        <is>
          <t>salsa tanzen</t>
        </is>
      </c>
      <c r="E13" s="3" t="inlineStr">
        <is>
          <t>'salsa' alone also means the sauce; always pair with a dance/class word</t>
        </is>
      </c>
      <c r="F13" s="3" t="inlineStr">
        <is>
          <t>Google Trends</t>
        </is>
      </c>
      <c r="G13" s="3" t="n"/>
      <c r="H13" s="3" t="n"/>
      <c r="I13" s="3" t="n"/>
      <c r="J13" s="3" t="n"/>
    </row>
    <row r="14" ht="15" customHeight="1" s="1">
      <c r="A14" s="3" t="inlineStr">
        <is>
          <t>KW-013</t>
        </is>
      </c>
      <c r="B14" s="3" t="inlineStr">
        <is>
          <t>CAR-SAL</t>
        </is>
      </c>
      <c r="C14" s="3" t="inlineStr">
        <is>
          <t>IT</t>
        </is>
      </c>
      <c r="D14" s="3" t="inlineStr">
        <is>
          <t>corso di salsa</t>
        </is>
      </c>
      <c r="E14" s="3" t="inlineStr">
        <is>
          <t>'salsa' alone also means the sauce; always pair with a dance/class word</t>
        </is>
      </c>
      <c r="F14" s="3" t="inlineStr">
        <is>
          <t>Google Trends</t>
        </is>
      </c>
      <c r="G14" s="3" t="n"/>
      <c r="H14" s="3" t="n"/>
      <c r="I14" s="3" t="n"/>
      <c r="J14" s="3" t="n"/>
    </row>
    <row r="15" ht="15" customHeight="1" s="1">
      <c r="A15" s="3" t="inlineStr">
        <is>
          <t>KW-014</t>
        </is>
      </c>
      <c r="B15" s="3" t="inlineStr">
        <is>
          <t>CAR-SAL</t>
        </is>
      </c>
      <c r="C15" s="3" t="inlineStr">
        <is>
          <t>ES</t>
        </is>
      </c>
      <c r="D15" s="3" t="inlineStr">
        <is>
          <t>clases de salsa</t>
        </is>
      </c>
      <c r="E15" s="3" t="inlineStr">
        <is>
          <t>'salsa' alone also means the sauce; always pair with a dance/class word</t>
        </is>
      </c>
      <c r="F15" s="3" t="inlineStr">
        <is>
          <t>Google Trends</t>
        </is>
      </c>
      <c r="G15" s="3" t="n"/>
      <c r="H15" s="3" t="n"/>
      <c r="I15" s="3" t="n"/>
      <c r="J15" s="3" t="n"/>
    </row>
    <row r="16" ht="15" customHeight="1" s="1">
      <c r="A16" s="3" t="inlineStr">
        <is>
          <t>KW-015</t>
        </is>
      </c>
      <c r="B16" s="3" t="inlineStr">
        <is>
          <t>CAR-BCH</t>
        </is>
      </c>
      <c r="C16" s="3" t="inlineStr">
        <is>
          <t>EN</t>
        </is>
      </c>
      <c r="D16" s="3" t="inlineStr">
        <is>
          <t>bachata class</t>
        </is>
      </c>
      <c r="E16" s="3" t="n"/>
      <c r="F16" s="3" t="inlineStr">
        <is>
          <t>Google Trends</t>
        </is>
      </c>
      <c r="G16" s="3" t="n"/>
      <c r="H16" s="3" t="n"/>
      <c r="I16" s="3" t="n"/>
      <c r="J16" s="3" t="n"/>
    </row>
    <row r="17" ht="15" customHeight="1" s="1">
      <c r="A17" s="3" t="inlineStr">
        <is>
          <t>KW-016</t>
        </is>
      </c>
      <c r="B17" s="3" t="inlineStr">
        <is>
          <t>CAR-BCH</t>
        </is>
      </c>
      <c r="C17" s="3" t="inlineStr">
        <is>
          <t>DE</t>
        </is>
      </c>
      <c r="D17" s="3" t="inlineStr">
        <is>
          <t>bachata tanzen</t>
        </is>
      </c>
      <c r="E17" s="3" t="n"/>
      <c r="F17" s="3" t="inlineStr">
        <is>
          <t>Google Trends</t>
        </is>
      </c>
      <c r="G17" s="3" t="n"/>
      <c r="H17" s="3" t="n"/>
      <c r="I17" s="3" t="n"/>
      <c r="J17" s="3" t="n"/>
    </row>
    <row r="18" ht="15" customHeight="1" s="1">
      <c r="A18" s="3" t="inlineStr">
        <is>
          <t>KW-017</t>
        </is>
      </c>
      <c r="B18" s="3" t="inlineStr">
        <is>
          <t>CAR-BCH</t>
        </is>
      </c>
      <c r="C18" s="3" t="inlineStr">
        <is>
          <t>IT</t>
        </is>
      </c>
      <c r="D18" s="3" t="inlineStr">
        <is>
          <t>corso di bachata</t>
        </is>
      </c>
      <c r="E18" s="3" t="n"/>
      <c r="F18" s="3" t="inlineStr">
        <is>
          <t>Google Trends</t>
        </is>
      </c>
      <c r="G18" s="3" t="n"/>
      <c r="H18" s="3" t="n"/>
      <c r="I18" s="3" t="n"/>
      <c r="J18" s="3" t="n"/>
    </row>
    <row r="19" ht="15" customHeight="1" s="1">
      <c r="A19" s="3" t="inlineStr">
        <is>
          <t>KW-018</t>
        </is>
      </c>
      <c r="B19" s="3" t="inlineStr">
        <is>
          <t>CAR-BCH</t>
        </is>
      </c>
      <c r="C19" s="3" t="inlineStr">
        <is>
          <t>ES</t>
        </is>
      </c>
      <c r="D19" s="3" t="inlineStr">
        <is>
          <t>clases de bachata</t>
        </is>
      </c>
      <c r="E19" s="3" t="n"/>
      <c r="F19" s="3" t="inlineStr">
        <is>
          <t>Google Trends</t>
        </is>
      </c>
      <c r="G19" s="3" t="n"/>
      <c r="H19" s="3" t="n"/>
      <c r="I19" s="3" t="n"/>
      <c r="J19" s="3" t="n"/>
    </row>
    <row r="20" ht="15" customHeight="1" s="1">
      <c r="A20" s="3" t="inlineStr">
        <is>
          <t>KW-019</t>
        </is>
      </c>
      <c r="B20" s="3" t="inlineStr">
        <is>
          <t>ACR-TRK</t>
        </is>
      </c>
      <c r="C20" s="3" t="inlineStr">
        <is>
          <t>EN</t>
        </is>
      </c>
      <c r="D20" s="3" t="inlineStr">
        <is>
          <t>tricking</t>
        </is>
      </c>
      <c r="E20" s="3" t="inlineStr">
        <is>
          <t>Check for other meanings of the word</t>
        </is>
      </c>
      <c r="F20" s="3" t="inlineStr">
        <is>
          <t>Google Trends</t>
        </is>
      </c>
      <c r="G20" s="3" t="n"/>
      <c r="H20" s="3" t="n"/>
      <c r="I20" s="3" t="n"/>
      <c r="J20" s="3" t="n"/>
    </row>
    <row r="21" ht="15" customHeight="1" s="1">
      <c r="A21" s="3" t="inlineStr">
        <is>
          <t>KW-020</t>
        </is>
      </c>
      <c r="B21" s="3" t="inlineStr">
        <is>
          <t>ACR-TRK</t>
        </is>
      </c>
      <c r="C21" s="3" t="inlineStr">
        <is>
          <t>EN</t>
        </is>
      </c>
      <c r="D21" s="3" t="inlineStr">
        <is>
          <t>tricking battle</t>
        </is>
      </c>
      <c r="E21" s="3" t="inlineStr">
        <is>
          <t>Check for other meanings of the word</t>
        </is>
      </c>
      <c r="F21" s="3" t="inlineStr">
        <is>
          <t>Google Trends</t>
        </is>
      </c>
      <c r="G21" s="3" t="n"/>
      <c r="H21" s="3" t="n"/>
      <c r="I21" s="3" t="n"/>
      <c r="J21" s="3" t="n"/>
    </row>
  </sheetData>
  <autoFilter ref="A1:J21"/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0"/>
  <sheetViews>
    <sheetView zoomScaleNormal="100" workbookViewId="0">
      <selection activeCell="A1" sqref="A1"/>
    </sheetView>
  </sheetViews>
  <sheetFormatPr baseColWidth="8" defaultColWidth="8.6640625" defaultRowHeight="14.4"/>
  <cols>
    <col width="10" customWidth="1" style="1" min="1" max="1"/>
    <col width="16" customWidth="1" style="1" min="2" max="2"/>
    <col width="22" customWidth="1" style="1" min="3" max="7"/>
  </cols>
  <sheetData>
    <row r="1" ht="17.4" customHeight="1" s="1">
      <c r="A1" s="7" t="inlineStr">
        <is>
          <t>Grid: formulas from Signals and RedBull. Do not edit.</t>
        </is>
      </c>
    </row>
    <row r="2" ht="15" customHeight="1" s="1">
      <c r="A2" s="8" t="inlineStr">
        <is>
          <t>Block 1: average score (0-5) per city and discipline. Block 2: number of signal rows filled. Block 3: Red Bull events listed for the city name (exact match).</t>
        </is>
      </c>
    </row>
    <row r="4" ht="15" customHeight="1" s="1">
      <c r="A4" s="9" t="inlineStr">
        <is>
          <t>Block 1: average score</t>
        </is>
      </c>
    </row>
    <row r="5" ht="15" customHeight="1" s="1">
      <c r="A5" s="10" t="inlineStr">
        <is>
          <t>city_id</t>
        </is>
      </c>
      <c r="B5" s="10" t="inlineStr">
        <is>
          <t>city</t>
        </is>
      </c>
      <c r="C5" s="10" t="inlineStr">
        <is>
          <t>URB-BRK</t>
        </is>
      </c>
      <c r="D5" s="10" t="inlineStr">
        <is>
          <t>URB-HIP</t>
        </is>
      </c>
      <c r="E5" s="10" t="inlineStr">
        <is>
          <t>CAR-SAL</t>
        </is>
      </c>
      <c r="F5" s="10" t="inlineStr">
        <is>
          <t>CAR-BCH</t>
        </is>
      </c>
      <c r="G5" s="10" t="inlineStr">
        <is>
          <t>ACR-TRK</t>
        </is>
      </c>
    </row>
    <row r="6" ht="15" customHeight="1" s="1">
      <c r="A6" s="11">
        <f>Cities!A2</f>
        <v/>
      </c>
      <c r="B6" s="11">
        <f>Cities!B2</f>
        <v/>
      </c>
      <c r="C6" s="12">
        <f>IFERROR(AVERAGEIFS(Signals!$G:$G,Signals!$B:$B,$A6,Signals!$C:$C,C$5),"")</f>
        <v/>
      </c>
      <c r="D6" s="12">
        <f>IFERROR(AVERAGEIFS(Signals!$G:$G,Signals!$B:$B,$A6,Signals!$C:$C,D$5),"")</f>
        <v/>
      </c>
      <c r="E6" s="12">
        <f>IFERROR(AVERAGEIFS(Signals!$G:$G,Signals!$B:$B,$A6,Signals!$C:$C,E$5),"")</f>
        <v/>
      </c>
      <c r="F6" s="12">
        <f>IFERROR(AVERAGEIFS(Signals!$G:$G,Signals!$B:$B,$A6,Signals!$C:$C,F$5),"")</f>
        <v/>
      </c>
      <c r="G6" s="12">
        <f>IFERROR(AVERAGEIFS(Signals!$G:$G,Signals!$B:$B,$A6,Signals!$C:$C,G$5),"")</f>
        <v/>
      </c>
    </row>
    <row r="7" ht="15" customHeight="1" s="1">
      <c r="A7" s="11">
        <f>Cities!A3</f>
        <v/>
      </c>
      <c r="B7" s="11">
        <f>Cities!B3</f>
        <v/>
      </c>
      <c r="C7" s="12">
        <f>IFERROR(AVERAGEIFS(Signals!$G:$G,Signals!$B:$B,$A7,Signals!$C:$C,C$5),"")</f>
        <v/>
      </c>
      <c r="D7" s="12">
        <f>IFERROR(AVERAGEIFS(Signals!$G:$G,Signals!$B:$B,$A7,Signals!$C:$C,D$5),"")</f>
        <v/>
      </c>
      <c r="E7" s="12">
        <f>IFERROR(AVERAGEIFS(Signals!$G:$G,Signals!$B:$B,$A7,Signals!$C:$C,E$5),"")</f>
        <v/>
      </c>
      <c r="F7" s="12">
        <f>IFERROR(AVERAGEIFS(Signals!$G:$G,Signals!$B:$B,$A7,Signals!$C:$C,F$5),"")</f>
        <v/>
      </c>
      <c r="G7" s="12">
        <f>IFERROR(AVERAGEIFS(Signals!$G:$G,Signals!$B:$B,$A7,Signals!$C:$C,G$5),"")</f>
        <v/>
      </c>
    </row>
    <row r="8" ht="15" customHeight="1" s="1">
      <c r="A8" s="11">
        <f>Cities!A4</f>
        <v/>
      </c>
      <c r="B8" s="11">
        <f>Cities!B4</f>
        <v/>
      </c>
      <c r="C8" s="12">
        <f>IFERROR(AVERAGEIFS(Signals!$G:$G,Signals!$B:$B,$A8,Signals!$C:$C,C$5),"")</f>
        <v/>
      </c>
      <c r="D8" s="12">
        <f>IFERROR(AVERAGEIFS(Signals!$G:$G,Signals!$B:$B,$A8,Signals!$C:$C,D$5),"")</f>
        <v/>
      </c>
      <c r="E8" s="12">
        <f>IFERROR(AVERAGEIFS(Signals!$G:$G,Signals!$B:$B,$A8,Signals!$C:$C,E$5),"")</f>
        <v/>
      </c>
      <c r="F8" s="12">
        <f>IFERROR(AVERAGEIFS(Signals!$G:$G,Signals!$B:$B,$A8,Signals!$C:$C,F$5),"")</f>
        <v/>
      </c>
      <c r="G8" s="12">
        <f>IFERROR(AVERAGEIFS(Signals!$G:$G,Signals!$B:$B,$A8,Signals!$C:$C,G$5),"")</f>
        <v/>
      </c>
    </row>
    <row r="9" ht="15" customHeight="1" s="1">
      <c r="A9" s="11">
        <f>Cities!A5</f>
        <v/>
      </c>
      <c r="B9" s="11">
        <f>Cities!B5</f>
        <v/>
      </c>
      <c r="C9" s="12">
        <f>IFERROR(AVERAGEIFS(Signals!$G:$G,Signals!$B:$B,$A9,Signals!$C:$C,C$5),"")</f>
        <v/>
      </c>
      <c r="D9" s="12">
        <f>IFERROR(AVERAGEIFS(Signals!$G:$G,Signals!$B:$B,$A9,Signals!$C:$C,D$5),"")</f>
        <v/>
      </c>
      <c r="E9" s="12">
        <f>IFERROR(AVERAGEIFS(Signals!$G:$G,Signals!$B:$B,$A9,Signals!$C:$C,E$5),"")</f>
        <v/>
      </c>
      <c r="F9" s="12">
        <f>IFERROR(AVERAGEIFS(Signals!$G:$G,Signals!$B:$B,$A9,Signals!$C:$C,F$5),"")</f>
        <v/>
      </c>
      <c r="G9" s="12">
        <f>IFERROR(AVERAGEIFS(Signals!$G:$G,Signals!$B:$B,$A9,Signals!$C:$C,G$5),"")</f>
        <v/>
      </c>
    </row>
    <row r="10" ht="15" customHeight="1" s="1">
      <c r="A10" s="11">
        <f>Cities!A6</f>
        <v/>
      </c>
      <c r="B10" s="11">
        <f>Cities!B6</f>
        <v/>
      </c>
      <c r="C10" s="12">
        <f>IFERROR(AVERAGEIFS(Signals!$G:$G,Signals!$B:$B,$A10,Signals!$C:$C,C$5),"")</f>
        <v/>
      </c>
      <c r="D10" s="12">
        <f>IFERROR(AVERAGEIFS(Signals!$G:$G,Signals!$B:$B,$A10,Signals!$C:$C,D$5),"")</f>
        <v/>
      </c>
      <c r="E10" s="12">
        <f>IFERROR(AVERAGEIFS(Signals!$G:$G,Signals!$B:$B,$A10,Signals!$C:$C,E$5),"")</f>
        <v/>
      </c>
      <c r="F10" s="12">
        <f>IFERROR(AVERAGEIFS(Signals!$G:$G,Signals!$B:$B,$A10,Signals!$C:$C,F$5),"")</f>
        <v/>
      </c>
      <c r="G10" s="12">
        <f>IFERROR(AVERAGEIFS(Signals!$G:$G,Signals!$B:$B,$A10,Signals!$C:$C,G$5),"")</f>
        <v/>
      </c>
    </row>
    <row r="11" ht="15" customHeight="1" s="1">
      <c r="A11" s="11">
        <f>Cities!A7</f>
        <v/>
      </c>
      <c r="B11" s="11">
        <f>Cities!B7</f>
        <v/>
      </c>
      <c r="C11" s="12">
        <f>IFERROR(AVERAGEIFS(Signals!$G:$G,Signals!$B:$B,$A11,Signals!$C:$C,C$5),"")</f>
        <v/>
      </c>
      <c r="D11" s="12">
        <f>IFERROR(AVERAGEIFS(Signals!$G:$G,Signals!$B:$B,$A11,Signals!$C:$C,D$5),"")</f>
        <v/>
      </c>
      <c r="E11" s="12">
        <f>IFERROR(AVERAGEIFS(Signals!$G:$G,Signals!$B:$B,$A11,Signals!$C:$C,E$5),"")</f>
        <v/>
      </c>
      <c r="F11" s="12">
        <f>IFERROR(AVERAGEIFS(Signals!$G:$G,Signals!$B:$B,$A11,Signals!$C:$C,F$5),"")</f>
        <v/>
      </c>
      <c r="G11" s="12">
        <f>IFERROR(AVERAGEIFS(Signals!$G:$G,Signals!$B:$B,$A11,Signals!$C:$C,G$5),"")</f>
        <v/>
      </c>
    </row>
    <row r="12" ht="15" customHeight="1" s="1">
      <c r="A12" s="11">
        <f>Cities!A8</f>
        <v/>
      </c>
      <c r="B12" s="11">
        <f>Cities!B8</f>
        <v/>
      </c>
      <c r="C12" s="12">
        <f>IFERROR(AVERAGEIFS(Signals!$G:$G,Signals!$B:$B,$A12,Signals!$C:$C,C$5),"")</f>
        <v/>
      </c>
      <c r="D12" s="12">
        <f>IFERROR(AVERAGEIFS(Signals!$G:$G,Signals!$B:$B,$A12,Signals!$C:$C,D$5),"")</f>
        <v/>
      </c>
      <c r="E12" s="12">
        <f>IFERROR(AVERAGEIFS(Signals!$G:$G,Signals!$B:$B,$A12,Signals!$C:$C,E$5),"")</f>
        <v/>
      </c>
      <c r="F12" s="12">
        <f>IFERROR(AVERAGEIFS(Signals!$G:$G,Signals!$B:$B,$A12,Signals!$C:$C,F$5),"")</f>
        <v/>
      </c>
      <c r="G12" s="12">
        <f>IFERROR(AVERAGEIFS(Signals!$G:$G,Signals!$B:$B,$A12,Signals!$C:$C,G$5),"")</f>
        <v/>
      </c>
    </row>
    <row r="13" ht="15" customHeight="1" s="1">
      <c r="A13" s="11">
        <f>Cities!A9</f>
        <v/>
      </c>
      <c r="B13" s="11">
        <f>Cities!B9</f>
        <v/>
      </c>
      <c r="C13" s="12">
        <f>IFERROR(AVERAGEIFS(Signals!$G:$G,Signals!$B:$B,$A13,Signals!$C:$C,C$5),"")</f>
        <v/>
      </c>
      <c r="D13" s="12">
        <f>IFERROR(AVERAGEIFS(Signals!$G:$G,Signals!$B:$B,$A13,Signals!$C:$C,D$5),"")</f>
        <v/>
      </c>
      <c r="E13" s="12">
        <f>IFERROR(AVERAGEIFS(Signals!$G:$G,Signals!$B:$B,$A13,Signals!$C:$C,E$5),"")</f>
        <v/>
      </c>
      <c r="F13" s="12">
        <f>IFERROR(AVERAGEIFS(Signals!$G:$G,Signals!$B:$B,$A13,Signals!$C:$C,F$5),"")</f>
        <v/>
      </c>
      <c r="G13" s="12">
        <f>IFERROR(AVERAGEIFS(Signals!$G:$G,Signals!$B:$B,$A13,Signals!$C:$C,G$5),"")</f>
        <v/>
      </c>
    </row>
    <row r="14" ht="15" customHeight="1" s="1">
      <c r="A14" s="11">
        <f>Cities!A10</f>
        <v/>
      </c>
      <c r="B14" s="11">
        <f>Cities!B10</f>
        <v/>
      </c>
      <c r="C14" s="12">
        <f>IFERROR(AVERAGEIFS(Signals!$G:$G,Signals!$B:$B,$A14,Signals!$C:$C,C$5),"")</f>
        <v/>
      </c>
      <c r="D14" s="12">
        <f>IFERROR(AVERAGEIFS(Signals!$G:$G,Signals!$B:$B,$A14,Signals!$C:$C,D$5),"")</f>
        <v/>
      </c>
      <c r="E14" s="12">
        <f>IFERROR(AVERAGEIFS(Signals!$G:$G,Signals!$B:$B,$A14,Signals!$C:$C,E$5),"")</f>
        <v/>
      </c>
      <c r="F14" s="12">
        <f>IFERROR(AVERAGEIFS(Signals!$G:$G,Signals!$B:$B,$A14,Signals!$C:$C,F$5),"")</f>
        <v/>
      </c>
      <c r="G14" s="12">
        <f>IFERROR(AVERAGEIFS(Signals!$G:$G,Signals!$B:$B,$A14,Signals!$C:$C,G$5),"")</f>
        <v/>
      </c>
    </row>
    <row r="15" ht="15" customHeight="1" s="1">
      <c r="A15" s="11">
        <f>Cities!A11</f>
        <v/>
      </c>
      <c r="B15" s="11">
        <f>Cities!B11</f>
        <v/>
      </c>
      <c r="C15" s="12">
        <f>IFERROR(AVERAGEIFS(Signals!$G:$G,Signals!$B:$B,$A15,Signals!$C:$C,C$5),"")</f>
        <v/>
      </c>
      <c r="D15" s="12">
        <f>IFERROR(AVERAGEIFS(Signals!$G:$G,Signals!$B:$B,$A15,Signals!$C:$C,D$5),"")</f>
        <v/>
      </c>
      <c r="E15" s="12">
        <f>IFERROR(AVERAGEIFS(Signals!$G:$G,Signals!$B:$B,$A15,Signals!$C:$C,E$5),"")</f>
        <v/>
      </c>
      <c r="F15" s="12">
        <f>IFERROR(AVERAGEIFS(Signals!$G:$G,Signals!$B:$B,$A15,Signals!$C:$C,F$5),"")</f>
        <v/>
      </c>
      <c r="G15" s="12">
        <f>IFERROR(AVERAGEIFS(Signals!$G:$G,Signals!$B:$B,$A15,Signals!$C:$C,G$5),"")</f>
        <v/>
      </c>
    </row>
    <row r="16" ht="15" customHeight="1" s="1">
      <c r="A16" s="11">
        <f>Cities!A12</f>
        <v/>
      </c>
      <c r="B16" s="11">
        <f>Cities!B12</f>
        <v/>
      </c>
      <c r="C16" s="12">
        <f>IFERROR(AVERAGEIFS(Signals!$G:$G,Signals!$B:$B,$A16,Signals!$C:$C,C$5),"")</f>
        <v/>
      </c>
      <c r="D16" s="12">
        <f>IFERROR(AVERAGEIFS(Signals!$G:$G,Signals!$B:$B,$A16,Signals!$C:$C,D$5),"")</f>
        <v/>
      </c>
      <c r="E16" s="12">
        <f>IFERROR(AVERAGEIFS(Signals!$G:$G,Signals!$B:$B,$A16,Signals!$C:$C,E$5),"")</f>
        <v/>
      </c>
      <c r="F16" s="12">
        <f>IFERROR(AVERAGEIFS(Signals!$G:$G,Signals!$B:$B,$A16,Signals!$C:$C,F$5),"")</f>
        <v/>
      </c>
      <c r="G16" s="12">
        <f>IFERROR(AVERAGEIFS(Signals!$G:$G,Signals!$B:$B,$A16,Signals!$C:$C,G$5),"")</f>
        <v/>
      </c>
    </row>
    <row r="17" ht="15" customHeight="1" s="1">
      <c r="A17" s="11">
        <f>Cities!A13</f>
        <v/>
      </c>
      <c r="B17" s="11">
        <f>Cities!B13</f>
        <v/>
      </c>
      <c r="C17" s="12">
        <f>IFERROR(AVERAGEIFS(Signals!$G:$G,Signals!$B:$B,$A17,Signals!$C:$C,C$5),"")</f>
        <v/>
      </c>
      <c r="D17" s="12">
        <f>IFERROR(AVERAGEIFS(Signals!$G:$G,Signals!$B:$B,$A17,Signals!$C:$C,D$5),"")</f>
        <v/>
      </c>
      <c r="E17" s="12">
        <f>IFERROR(AVERAGEIFS(Signals!$G:$G,Signals!$B:$B,$A17,Signals!$C:$C,E$5),"")</f>
        <v/>
      </c>
      <c r="F17" s="12">
        <f>IFERROR(AVERAGEIFS(Signals!$G:$G,Signals!$B:$B,$A17,Signals!$C:$C,F$5),"")</f>
        <v/>
      </c>
      <c r="G17" s="12">
        <f>IFERROR(AVERAGEIFS(Signals!$G:$G,Signals!$B:$B,$A17,Signals!$C:$C,G$5),"")</f>
        <v/>
      </c>
    </row>
    <row r="18" ht="15" customHeight="1" s="1">
      <c r="A18" s="11">
        <f>Cities!A14</f>
        <v/>
      </c>
      <c r="B18" s="11">
        <f>Cities!B14</f>
        <v/>
      </c>
      <c r="C18" s="12">
        <f>IFERROR(AVERAGEIFS(Signals!$G:$G,Signals!$B:$B,$A18,Signals!$C:$C,C$5),"")</f>
        <v/>
      </c>
      <c r="D18" s="12">
        <f>IFERROR(AVERAGEIFS(Signals!$G:$G,Signals!$B:$B,$A18,Signals!$C:$C,D$5),"")</f>
        <v/>
      </c>
      <c r="E18" s="12">
        <f>IFERROR(AVERAGEIFS(Signals!$G:$G,Signals!$B:$B,$A18,Signals!$C:$C,E$5),"")</f>
        <v/>
      </c>
      <c r="F18" s="12">
        <f>IFERROR(AVERAGEIFS(Signals!$G:$G,Signals!$B:$B,$A18,Signals!$C:$C,F$5),"")</f>
        <v/>
      </c>
      <c r="G18" s="12">
        <f>IFERROR(AVERAGEIFS(Signals!$G:$G,Signals!$B:$B,$A18,Signals!$C:$C,G$5),"")</f>
        <v/>
      </c>
    </row>
    <row r="20" ht="15" customHeight="1" s="1">
      <c r="A20" s="9" t="inlineStr">
        <is>
          <t>Block 2: signal rows filled</t>
        </is>
      </c>
    </row>
    <row r="21" ht="15" customHeight="1" s="1">
      <c r="A21" s="10" t="inlineStr">
        <is>
          <t>city_id</t>
        </is>
      </c>
      <c r="B21" s="10" t="inlineStr">
        <is>
          <t>city</t>
        </is>
      </c>
      <c r="C21" s="10" t="inlineStr">
        <is>
          <t>URB-BRK</t>
        </is>
      </c>
      <c r="D21" s="10" t="inlineStr">
        <is>
          <t>URB-HIP</t>
        </is>
      </c>
      <c r="E21" s="10" t="inlineStr">
        <is>
          <t>CAR-SAL</t>
        </is>
      </c>
      <c r="F21" s="10" t="inlineStr">
        <is>
          <t>CAR-BCH</t>
        </is>
      </c>
      <c r="G21" s="10" t="inlineStr">
        <is>
          <t>ACR-TRK</t>
        </is>
      </c>
    </row>
    <row r="22" ht="15" customHeight="1" s="1">
      <c r="A22" s="11">
        <f>Cities!A2</f>
        <v/>
      </c>
      <c r="B22" s="11">
        <f>Cities!B2</f>
        <v/>
      </c>
      <c r="C22" s="12">
        <f>COUNTIFS(Signals!$B:$B,$A22,Signals!$C:$C,C$21)</f>
        <v/>
      </c>
      <c r="D22" s="12">
        <f>COUNTIFS(Signals!$B:$B,$A22,Signals!$C:$C,D$21)</f>
        <v/>
      </c>
      <c r="E22" s="12">
        <f>COUNTIFS(Signals!$B:$B,$A22,Signals!$C:$C,E$21)</f>
        <v/>
      </c>
      <c r="F22" s="12">
        <f>COUNTIFS(Signals!$B:$B,$A22,Signals!$C:$C,F$21)</f>
        <v/>
      </c>
      <c r="G22" s="12">
        <f>COUNTIFS(Signals!$B:$B,$A22,Signals!$C:$C,G$21)</f>
        <v/>
      </c>
    </row>
    <row r="23" ht="15" customHeight="1" s="1">
      <c r="A23" s="11">
        <f>Cities!A3</f>
        <v/>
      </c>
      <c r="B23" s="11">
        <f>Cities!B3</f>
        <v/>
      </c>
      <c r="C23" s="12">
        <f>COUNTIFS(Signals!$B:$B,$A23,Signals!$C:$C,C$21)</f>
        <v/>
      </c>
      <c r="D23" s="12">
        <f>COUNTIFS(Signals!$B:$B,$A23,Signals!$C:$C,D$21)</f>
        <v/>
      </c>
      <c r="E23" s="12">
        <f>COUNTIFS(Signals!$B:$B,$A23,Signals!$C:$C,E$21)</f>
        <v/>
      </c>
      <c r="F23" s="12">
        <f>COUNTIFS(Signals!$B:$B,$A23,Signals!$C:$C,F$21)</f>
        <v/>
      </c>
      <c r="G23" s="12">
        <f>COUNTIFS(Signals!$B:$B,$A23,Signals!$C:$C,G$21)</f>
        <v/>
      </c>
    </row>
    <row r="24" ht="15" customHeight="1" s="1">
      <c r="A24" s="11">
        <f>Cities!A4</f>
        <v/>
      </c>
      <c r="B24" s="11">
        <f>Cities!B4</f>
        <v/>
      </c>
      <c r="C24" s="12">
        <f>COUNTIFS(Signals!$B:$B,$A24,Signals!$C:$C,C$21)</f>
        <v/>
      </c>
      <c r="D24" s="12">
        <f>COUNTIFS(Signals!$B:$B,$A24,Signals!$C:$C,D$21)</f>
        <v/>
      </c>
      <c r="E24" s="12">
        <f>COUNTIFS(Signals!$B:$B,$A24,Signals!$C:$C,E$21)</f>
        <v/>
      </c>
      <c r="F24" s="12">
        <f>COUNTIFS(Signals!$B:$B,$A24,Signals!$C:$C,F$21)</f>
        <v/>
      </c>
      <c r="G24" s="12">
        <f>COUNTIFS(Signals!$B:$B,$A24,Signals!$C:$C,G$21)</f>
        <v/>
      </c>
    </row>
    <row r="25" ht="15" customHeight="1" s="1">
      <c r="A25" s="11">
        <f>Cities!A5</f>
        <v/>
      </c>
      <c r="B25" s="11">
        <f>Cities!B5</f>
        <v/>
      </c>
      <c r="C25" s="12">
        <f>COUNTIFS(Signals!$B:$B,$A25,Signals!$C:$C,C$21)</f>
        <v/>
      </c>
      <c r="D25" s="12">
        <f>COUNTIFS(Signals!$B:$B,$A25,Signals!$C:$C,D$21)</f>
        <v/>
      </c>
      <c r="E25" s="12">
        <f>COUNTIFS(Signals!$B:$B,$A25,Signals!$C:$C,E$21)</f>
        <v/>
      </c>
      <c r="F25" s="12">
        <f>COUNTIFS(Signals!$B:$B,$A25,Signals!$C:$C,F$21)</f>
        <v/>
      </c>
      <c r="G25" s="12">
        <f>COUNTIFS(Signals!$B:$B,$A25,Signals!$C:$C,G$21)</f>
        <v/>
      </c>
    </row>
    <row r="26" ht="15" customHeight="1" s="1">
      <c r="A26" s="11">
        <f>Cities!A6</f>
        <v/>
      </c>
      <c r="B26" s="11">
        <f>Cities!B6</f>
        <v/>
      </c>
      <c r="C26" s="12">
        <f>COUNTIFS(Signals!$B:$B,$A26,Signals!$C:$C,C$21)</f>
        <v/>
      </c>
      <c r="D26" s="12">
        <f>COUNTIFS(Signals!$B:$B,$A26,Signals!$C:$C,D$21)</f>
        <v/>
      </c>
      <c r="E26" s="12">
        <f>COUNTIFS(Signals!$B:$B,$A26,Signals!$C:$C,E$21)</f>
        <v/>
      </c>
      <c r="F26" s="12">
        <f>COUNTIFS(Signals!$B:$B,$A26,Signals!$C:$C,F$21)</f>
        <v/>
      </c>
      <c r="G26" s="12">
        <f>COUNTIFS(Signals!$B:$B,$A26,Signals!$C:$C,G$21)</f>
        <v/>
      </c>
    </row>
    <row r="27" ht="15" customHeight="1" s="1">
      <c r="A27" s="11">
        <f>Cities!A7</f>
        <v/>
      </c>
      <c r="B27" s="11">
        <f>Cities!B7</f>
        <v/>
      </c>
      <c r="C27" s="12">
        <f>COUNTIFS(Signals!$B:$B,$A27,Signals!$C:$C,C$21)</f>
        <v/>
      </c>
      <c r="D27" s="12">
        <f>COUNTIFS(Signals!$B:$B,$A27,Signals!$C:$C,D$21)</f>
        <v/>
      </c>
      <c r="E27" s="12">
        <f>COUNTIFS(Signals!$B:$B,$A27,Signals!$C:$C,E$21)</f>
        <v/>
      </c>
      <c r="F27" s="12">
        <f>COUNTIFS(Signals!$B:$B,$A27,Signals!$C:$C,F$21)</f>
        <v/>
      </c>
      <c r="G27" s="12">
        <f>COUNTIFS(Signals!$B:$B,$A27,Signals!$C:$C,G$21)</f>
        <v/>
      </c>
    </row>
    <row r="28" ht="15" customHeight="1" s="1">
      <c r="A28" s="11">
        <f>Cities!A8</f>
        <v/>
      </c>
      <c r="B28" s="11">
        <f>Cities!B8</f>
        <v/>
      </c>
      <c r="C28" s="12">
        <f>COUNTIFS(Signals!$B:$B,$A28,Signals!$C:$C,C$21)</f>
        <v/>
      </c>
      <c r="D28" s="12">
        <f>COUNTIFS(Signals!$B:$B,$A28,Signals!$C:$C,D$21)</f>
        <v/>
      </c>
      <c r="E28" s="12">
        <f>COUNTIFS(Signals!$B:$B,$A28,Signals!$C:$C,E$21)</f>
        <v/>
      </c>
      <c r="F28" s="12">
        <f>COUNTIFS(Signals!$B:$B,$A28,Signals!$C:$C,F$21)</f>
        <v/>
      </c>
      <c r="G28" s="12">
        <f>COUNTIFS(Signals!$B:$B,$A28,Signals!$C:$C,G$21)</f>
        <v/>
      </c>
    </row>
    <row r="29" ht="15" customHeight="1" s="1">
      <c r="A29" s="11">
        <f>Cities!A9</f>
        <v/>
      </c>
      <c r="B29" s="11">
        <f>Cities!B9</f>
        <v/>
      </c>
      <c r="C29" s="12">
        <f>COUNTIFS(Signals!$B:$B,$A29,Signals!$C:$C,C$21)</f>
        <v/>
      </c>
      <c r="D29" s="12">
        <f>COUNTIFS(Signals!$B:$B,$A29,Signals!$C:$C,D$21)</f>
        <v/>
      </c>
      <c r="E29" s="12">
        <f>COUNTIFS(Signals!$B:$B,$A29,Signals!$C:$C,E$21)</f>
        <v/>
      </c>
      <c r="F29" s="12">
        <f>COUNTIFS(Signals!$B:$B,$A29,Signals!$C:$C,F$21)</f>
        <v/>
      </c>
      <c r="G29" s="12">
        <f>COUNTIFS(Signals!$B:$B,$A29,Signals!$C:$C,G$21)</f>
        <v/>
      </c>
    </row>
    <row r="30" ht="15" customHeight="1" s="1">
      <c r="A30" s="11">
        <f>Cities!A10</f>
        <v/>
      </c>
      <c r="B30" s="11">
        <f>Cities!B10</f>
        <v/>
      </c>
      <c r="C30" s="12">
        <f>COUNTIFS(Signals!$B:$B,$A30,Signals!$C:$C,C$21)</f>
        <v/>
      </c>
      <c r="D30" s="12">
        <f>COUNTIFS(Signals!$B:$B,$A30,Signals!$C:$C,D$21)</f>
        <v/>
      </c>
      <c r="E30" s="12">
        <f>COUNTIFS(Signals!$B:$B,$A30,Signals!$C:$C,E$21)</f>
        <v/>
      </c>
      <c r="F30" s="12">
        <f>COUNTIFS(Signals!$B:$B,$A30,Signals!$C:$C,F$21)</f>
        <v/>
      </c>
      <c r="G30" s="12">
        <f>COUNTIFS(Signals!$B:$B,$A30,Signals!$C:$C,G$21)</f>
        <v/>
      </c>
    </row>
    <row r="31" ht="15" customHeight="1" s="1">
      <c r="A31" s="11">
        <f>Cities!A11</f>
        <v/>
      </c>
      <c r="B31" s="11">
        <f>Cities!B11</f>
        <v/>
      </c>
      <c r="C31" s="12">
        <f>COUNTIFS(Signals!$B:$B,$A31,Signals!$C:$C,C$21)</f>
        <v/>
      </c>
      <c r="D31" s="12">
        <f>COUNTIFS(Signals!$B:$B,$A31,Signals!$C:$C,D$21)</f>
        <v/>
      </c>
      <c r="E31" s="12">
        <f>COUNTIFS(Signals!$B:$B,$A31,Signals!$C:$C,E$21)</f>
        <v/>
      </c>
      <c r="F31" s="12">
        <f>COUNTIFS(Signals!$B:$B,$A31,Signals!$C:$C,F$21)</f>
        <v/>
      </c>
      <c r="G31" s="12">
        <f>COUNTIFS(Signals!$B:$B,$A31,Signals!$C:$C,G$21)</f>
        <v/>
      </c>
    </row>
    <row r="32" ht="15" customHeight="1" s="1">
      <c r="A32" s="11">
        <f>Cities!A12</f>
        <v/>
      </c>
      <c r="B32" s="11">
        <f>Cities!B12</f>
        <v/>
      </c>
      <c r="C32" s="12">
        <f>COUNTIFS(Signals!$B:$B,$A32,Signals!$C:$C,C$21)</f>
        <v/>
      </c>
      <c r="D32" s="12">
        <f>COUNTIFS(Signals!$B:$B,$A32,Signals!$C:$C,D$21)</f>
        <v/>
      </c>
      <c r="E32" s="12">
        <f>COUNTIFS(Signals!$B:$B,$A32,Signals!$C:$C,E$21)</f>
        <v/>
      </c>
      <c r="F32" s="12">
        <f>COUNTIFS(Signals!$B:$B,$A32,Signals!$C:$C,F$21)</f>
        <v/>
      </c>
      <c r="G32" s="12">
        <f>COUNTIFS(Signals!$B:$B,$A32,Signals!$C:$C,G$21)</f>
        <v/>
      </c>
    </row>
    <row r="33" ht="15" customHeight="1" s="1">
      <c r="A33" s="11">
        <f>Cities!A13</f>
        <v/>
      </c>
      <c r="B33" s="11">
        <f>Cities!B13</f>
        <v/>
      </c>
      <c r="C33" s="12">
        <f>COUNTIFS(Signals!$B:$B,$A33,Signals!$C:$C,C$21)</f>
        <v/>
      </c>
      <c r="D33" s="12">
        <f>COUNTIFS(Signals!$B:$B,$A33,Signals!$C:$C,D$21)</f>
        <v/>
      </c>
      <c r="E33" s="12">
        <f>COUNTIFS(Signals!$B:$B,$A33,Signals!$C:$C,E$21)</f>
        <v/>
      </c>
      <c r="F33" s="12">
        <f>COUNTIFS(Signals!$B:$B,$A33,Signals!$C:$C,F$21)</f>
        <v/>
      </c>
      <c r="G33" s="12">
        <f>COUNTIFS(Signals!$B:$B,$A33,Signals!$C:$C,G$21)</f>
        <v/>
      </c>
    </row>
    <row r="34" ht="15" customHeight="1" s="1">
      <c r="A34" s="11">
        <f>Cities!A14</f>
        <v/>
      </c>
      <c r="B34" s="11">
        <f>Cities!B14</f>
        <v/>
      </c>
      <c r="C34" s="12">
        <f>COUNTIFS(Signals!$B:$B,$A34,Signals!$C:$C,C$21)</f>
        <v/>
      </c>
      <c r="D34" s="12">
        <f>COUNTIFS(Signals!$B:$B,$A34,Signals!$C:$C,D$21)</f>
        <v/>
      </c>
      <c r="E34" s="12">
        <f>COUNTIFS(Signals!$B:$B,$A34,Signals!$C:$C,E$21)</f>
        <v/>
      </c>
      <c r="F34" s="12">
        <f>COUNTIFS(Signals!$B:$B,$A34,Signals!$C:$C,F$21)</f>
        <v/>
      </c>
      <c r="G34" s="12">
        <f>COUNTIFS(Signals!$B:$B,$A34,Signals!$C:$C,G$21)</f>
        <v/>
      </c>
    </row>
    <row r="36" ht="15" customHeight="1" s="1">
      <c r="A36" s="9" t="inlineStr">
        <is>
          <t>Block 3: Red Bull events listed (2026, exact city name)</t>
        </is>
      </c>
    </row>
    <row r="37" ht="15" customHeight="1" s="1">
      <c r="A37" s="10" t="inlineStr">
        <is>
          <t>city_id</t>
        </is>
      </c>
      <c r="B37" s="10" t="inlineStr">
        <is>
          <t>city</t>
        </is>
      </c>
      <c r="C37" s="10" t="inlineStr">
        <is>
          <t>Red Bull events listed</t>
        </is>
      </c>
      <c r="D37" s="10" t="inlineStr">
        <is>
          <t>URB-HIP</t>
        </is>
      </c>
      <c r="E37" s="10" t="inlineStr">
        <is>
          <t>CAR-SAL</t>
        </is>
      </c>
      <c r="F37" s="10" t="inlineStr">
        <is>
          <t>CAR-BCH</t>
        </is>
      </c>
      <c r="G37" s="10" t="inlineStr">
        <is>
          <t>ACR-TRK</t>
        </is>
      </c>
    </row>
    <row r="38" ht="15" customHeight="1" s="1">
      <c r="A38" s="11">
        <f>Cities!A2</f>
        <v/>
      </c>
      <c r="B38" s="11">
        <f>Cities!B2</f>
        <v/>
      </c>
      <c r="C38" s="12">
        <f>COUNTIFS(RedBull!$D:$D,$B38)</f>
        <v/>
      </c>
      <c r="D38" s="12" t="n"/>
      <c r="E38" s="12" t="n"/>
      <c r="F38" s="12" t="n"/>
      <c r="G38" s="12" t="n"/>
    </row>
    <row r="39" ht="15" customHeight="1" s="1">
      <c r="A39" s="11">
        <f>Cities!A3</f>
        <v/>
      </c>
      <c r="B39" s="11">
        <f>Cities!B3</f>
        <v/>
      </c>
      <c r="C39" s="12">
        <f>COUNTIFS(RedBull!$D:$D,$B39)</f>
        <v/>
      </c>
      <c r="D39" s="12" t="n"/>
      <c r="E39" s="12" t="n"/>
      <c r="F39" s="12" t="n"/>
      <c r="G39" s="12" t="n"/>
    </row>
    <row r="40" ht="15" customHeight="1" s="1">
      <c r="A40" s="11">
        <f>Cities!A4</f>
        <v/>
      </c>
      <c r="B40" s="11">
        <f>Cities!B4</f>
        <v/>
      </c>
      <c r="C40" s="12">
        <f>COUNTIFS(RedBull!$D:$D,$B40)</f>
        <v/>
      </c>
      <c r="D40" s="12" t="n"/>
      <c r="E40" s="12" t="n"/>
      <c r="F40" s="12" t="n"/>
      <c r="G40" s="12" t="n"/>
    </row>
    <row r="41" ht="15" customHeight="1" s="1">
      <c r="A41" s="11">
        <f>Cities!A5</f>
        <v/>
      </c>
      <c r="B41" s="11">
        <f>Cities!B5</f>
        <v/>
      </c>
      <c r="C41" s="12">
        <f>COUNTIFS(RedBull!$D:$D,$B41)</f>
        <v/>
      </c>
      <c r="D41" s="12" t="n"/>
      <c r="E41" s="12" t="n"/>
      <c r="F41" s="12" t="n"/>
      <c r="G41" s="12" t="n"/>
    </row>
    <row r="42" ht="15" customHeight="1" s="1">
      <c r="A42" s="11">
        <f>Cities!A6</f>
        <v/>
      </c>
      <c r="B42" s="11">
        <f>Cities!B6</f>
        <v/>
      </c>
      <c r="C42" s="12">
        <f>COUNTIFS(RedBull!$D:$D,$B42)</f>
        <v/>
      </c>
      <c r="D42" s="12" t="n"/>
      <c r="E42" s="12" t="n"/>
      <c r="F42" s="12" t="n"/>
      <c r="G42" s="12" t="n"/>
    </row>
    <row r="43" ht="15" customHeight="1" s="1">
      <c r="A43" s="11">
        <f>Cities!A7</f>
        <v/>
      </c>
      <c r="B43" s="11">
        <f>Cities!B7</f>
        <v/>
      </c>
      <c r="C43" s="12">
        <f>COUNTIFS(RedBull!$D:$D,$B43)</f>
        <v/>
      </c>
      <c r="D43" s="12" t="n"/>
      <c r="E43" s="12" t="n"/>
      <c r="F43" s="12" t="n"/>
      <c r="G43" s="12" t="n"/>
    </row>
    <row r="44" ht="15" customHeight="1" s="1">
      <c r="A44" s="11">
        <f>Cities!A8</f>
        <v/>
      </c>
      <c r="B44" s="11">
        <f>Cities!B8</f>
        <v/>
      </c>
      <c r="C44" s="12">
        <f>COUNTIFS(RedBull!$D:$D,$B44)</f>
        <v/>
      </c>
      <c r="D44" s="12" t="n"/>
      <c r="E44" s="12" t="n"/>
      <c r="F44" s="12" t="n"/>
      <c r="G44" s="12" t="n"/>
    </row>
    <row r="45" ht="15" customHeight="1" s="1">
      <c r="A45" s="11">
        <f>Cities!A9</f>
        <v/>
      </c>
      <c r="B45" s="11">
        <f>Cities!B9</f>
        <v/>
      </c>
      <c r="C45" s="12">
        <f>COUNTIFS(RedBull!$D:$D,$B45)</f>
        <v/>
      </c>
      <c r="D45" s="12" t="n"/>
      <c r="E45" s="12" t="n"/>
      <c r="F45" s="12" t="n"/>
      <c r="G45" s="12" t="n"/>
    </row>
    <row r="46" ht="15" customHeight="1" s="1">
      <c r="A46" s="11">
        <f>Cities!A10</f>
        <v/>
      </c>
      <c r="B46" s="11">
        <f>Cities!B10</f>
        <v/>
      </c>
      <c r="C46" s="12">
        <f>COUNTIFS(RedBull!$D:$D,$B46)</f>
        <v/>
      </c>
      <c r="D46" s="12" t="n"/>
      <c r="E46" s="12" t="n"/>
      <c r="F46" s="12" t="n"/>
      <c r="G46" s="12" t="n"/>
    </row>
    <row r="47" ht="15" customHeight="1" s="1">
      <c r="A47" s="11">
        <f>Cities!A11</f>
        <v/>
      </c>
      <c r="B47" s="11">
        <f>Cities!B11</f>
        <v/>
      </c>
      <c r="C47" s="12">
        <f>COUNTIFS(RedBull!$D:$D,$B47)</f>
        <v/>
      </c>
      <c r="D47" s="12" t="n"/>
      <c r="E47" s="12" t="n"/>
      <c r="F47" s="12" t="n"/>
      <c r="G47" s="12" t="n"/>
    </row>
    <row r="48" ht="15" customHeight="1" s="1">
      <c r="A48" s="11">
        <f>Cities!A12</f>
        <v/>
      </c>
      <c r="B48" s="11">
        <f>Cities!B12</f>
        <v/>
      </c>
      <c r="C48" s="12">
        <f>COUNTIFS(RedBull!$D:$D,$B48)</f>
        <v/>
      </c>
      <c r="D48" s="12" t="n"/>
      <c r="E48" s="12" t="n"/>
      <c r="F48" s="12" t="n"/>
      <c r="G48" s="12" t="n"/>
    </row>
    <row r="49" ht="15" customHeight="1" s="1">
      <c r="A49" s="11">
        <f>Cities!A13</f>
        <v/>
      </c>
      <c r="B49" s="11">
        <f>Cities!B13</f>
        <v/>
      </c>
      <c r="C49" s="12">
        <f>COUNTIFS(RedBull!$D:$D,$B49)</f>
        <v/>
      </c>
      <c r="D49" s="12" t="n"/>
      <c r="E49" s="12" t="n"/>
      <c r="F49" s="12" t="n"/>
      <c r="G49" s="12" t="n"/>
    </row>
    <row r="50" ht="15" customHeight="1" s="1">
      <c r="A50" s="11">
        <f>Cities!A14</f>
        <v/>
      </c>
      <c r="B50" s="11">
        <f>Cities!B14</f>
        <v/>
      </c>
      <c r="C50" s="12">
        <f>COUNTIFS(RedBull!$D:$D,$B50)</f>
        <v/>
      </c>
      <c r="D50" s="12" t="n"/>
      <c r="E50" s="12" t="n"/>
      <c r="F50" s="12" t="n"/>
      <c r="G50" s="12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3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8" defaultColWidth="8.6640625" defaultRowHeight="14.4"/>
  <cols>
    <col width="12" customWidth="1" style="1" min="1" max="1"/>
    <col width="110" customWidth="1" style="1" min="2" max="2"/>
    <col width="12" customWidth="1" style="1" min="3" max="3"/>
    <col width="40" customWidth="1" style="1" min="4" max="4"/>
  </cols>
  <sheetData>
    <row r="1" ht="30" customHeight="1" s="1">
      <c r="A1" s="5" t="inlineStr">
        <is>
          <t>date</t>
        </is>
      </c>
      <c r="B1" s="5" t="inlineStr">
        <is>
          <t>decision / question</t>
        </is>
      </c>
      <c r="C1" s="5" t="inlineStr">
        <is>
          <t>status</t>
        </is>
      </c>
      <c r="D1" s="5" t="inlineStr">
        <is>
          <t>notes</t>
        </is>
      </c>
    </row>
    <row r="2" ht="23.85" customHeight="1" s="1">
      <c r="A2" s="3" t="inlineStr">
        <is>
          <t>2026-10-19</t>
        </is>
      </c>
      <c r="B2" s="3" t="inlineStr">
        <is>
          <t>Scope: dance, with show-off/acrobatic disciplines as 'adjacent'. The data model does not depend on dance, so other sports can be added later</t>
        </is>
      </c>
      <c r="C2" s="3" t="inlineStr">
        <is>
          <t>decided</t>
        </is>
      </c>
      <c r="D2" s="3" t="n"/>
    </row>
    <row r="3" ht="23.85" customHeight="1" s="1">
      <c r="A3" s="3" t="inlineStr">
        <is>
          <t>2026-10-19</t>
        </is>
      </c>
      <c r="B3" s="3" t="inlineStr">
        <is>
          <t>Core question: where are the scenes, how strong are they, and what potential exists where Red Bull is absent or partial. Red Bull presence is one input, not the centre</t>
        </is>
      </c>
      <c r="C3" s="3" t="inlineStr">
        <is>
          <t>decided</t>
        </is>
      </c>
      <c r="D3" s="3" t="n"/>
    </row>
    <row r="4" ht="15" customHeight="1" s="1">
      <c r="A4" s="3" t="inlineStr">
        <is>
          <t>2026-10-19</t>
        </is>
      </c>
      <c r="B4" s="3" t="inlineStr">
        <is>
          <t>Sources: public only. A Red Bull contact validates and completes after enough data is collected</t>
        </is>
      </c>
      <c r="C4" s="3" t="inlineStr">
        <is>
          <t>decided</t>
        </is>
      </c>
      <c r="D4" s="3" t="n"/>
    </row>
    <row r="5" ht="15" customHeight="1" s="1">
      <c r="A5" s="3" t="inlineStr">
        <is>
          <t>2026-10-19</t>
        </is>
      </c>
      <c r="B5" s="3" t="inlineStr">
        <is>
          <t>Pilot disciplines: hip hop family (Red Bull reference), Caribbean/Latin dance, plus one more</t>
        </is>
      </c>
      <c r="C5" s="3" t="inlineStr">
        <is>
          <t>decided</t>
        </is>
      </c>
      <c r="D5" s="3" t="inlineStr">
        <is>
          <t>Third discipline: tricking proposed, to confirm</t>
        </is>
      </c>
    </row>
    <row r="6" ht="15" customHeight="1" s="1">
      <c r="A6" s="3" t="inlineStr">
        <is>
          <t>2026-10-19</t>
        </is>
      </c>
      <c r="B6" s="3" t="inlineStr">
        <is>
          <t>Cities: Europe as the comparable core; at most 2-3 anchor cities outside Europe as benchmarks only</t>
        </is>
      </c>
      <c r="C6" s="3" t="inlineStr">
        <is>
          <t>proposed</t>
        </is>
      </c>
      <c r="D6" s="3" t="inlineStr">
        <is>
          <t>Confirm list in Cities</t>
        </is>
      </c>
    </row>
    <row r="7" ht="23.85" customHeight="1" s="1">
      <c r="A7" s="3" t="inlineStr">
        <is>
          <t>2026-10-19</t>
        </is>
      </c>
      <c r="B7" s="3" t="inlineStr">
        <is>
          <t>Ladder of progression (class, social, local battle, national, international) is tested inside this workbook, not as a separate tool; keep it only if data is easy to get</t>
        </is>
      </c>
      <c r="C7" s="3" t="inlineStr">
        <is>
          <t>decided</t>
        </is>
      </c>
      <c r="D7" s="3" t="n"/>
    </row>
    <row r="8" ht="15" customHeight="1" s="1">
      <c r="A8" s="3" t="inlineStr">
        <is>
          <t>2026-10-19</t>
        </is>
      </c>
      <c r="B8" s="3" t="inlineStr">
        <is>
          <t>Under/over-served is a secondary reading computed from the same data</t>
        </is>
      </c>
      <c r="C8" s="3" t="inlineStr">
        <is>
          <t>decided</t>
        </is>
      </c>
      <c r="D8" s="3" t="n"/>
    </row>
    <row r="9" ht="15" customHeight="1" s="1">
      <c r="A9" s="3" t="inlineStr">
        <is>
          <t>2026-10-19</t>
        </is>
      </c>
      <c r="B9" s="3" t="inlineStr">
        <is>
          <t>Interactive map that can be shared: decide the tool after the first dataset exists</t>
        </is>
      </c>
      <c r="C9" s="3" t="inlineStr">
        <is>
          <t>open</t>
        </is>
      </c>
      <c r="D9" s="3" t="inlineStr">
        <is>
          <t>Options: free map tools or a published page</t>
        </is>
      </c>
    </row>
    <row r="10" ht="15" customHeight="1" s="1">
      <c r="A10" s="3" t="inlineStr">
        <is>
          <t>2026-10-19</t>
        </is>
      </c>
      <c r="B10" s="3" t="inlineStr">
        <is>
          <t>Column headers are in English so the file can be shared with Red Bull contacts</t>
        </is>
      </c>
      <c r="C10" s="3" t="inlineStr">
        <is>
          <t>proposed</t>
        </is>
      </c>
      <c r="D10" s="3" t="inlineStr">
        <is>
          <t>Easy to change</t>
        </is>
      </c>
    </row>
    <row r="11" ht="15" customHeight="1" s="1">
      <c r="A11" s="3" t="inlineStr">
        <is>
          <t>2026-10-19</t>
        </is>
      </c>
      <c r="B11" s="3" t="inlineStr">
        <is>
          <t>Open: Dance Your Style World Final is on 2026-10-24 in Zurich (per Red Bull series page): worth attending to observe a major event?</t>
        </is>
      </c>
      <c r="C11" s="3" t="inlineStr">
        <is>
          <t>decided</t>
        </is>
      </c>
      <c r="D11" s="3" t="inlineStr">
        <is>
          <t>Confirmed by A1 research (series page; see also A6/F1 files)</t>
        </is>
      </c>
    </row>
    <row r="12">
      <c r="A12" t="inlineStr">
        <is>
          <t>2026-10-19</t>
        </is>
      </c>
      <c r="B12" t="inlineStr">
        <is>
          <t>Full research run P1+P2+P3 (E1 on hold per brief): 49 result files in research/results/</t>
        </is>
      </c>
      <c r="C12" t="inlineStr">
        <is>
          <t>done</t>
        </is>
      </c>
      <c r="D12" t="inlineStr">
        <is>
          <t>INDEX in research/results/INDEX.md; key URLs spot-checked on 2026-10-19</t>
        </is>
      </c>
    </row>
    <row r="13">
      <c r="A13" t="inlineStr">
        <is>
          <t>2026-10-19</t>
        </is>
      </c>
      <c r="B13" t="inlineStr">
        <is>
          <t>RedBull sheet updated from A1: cities filled (mostly inferred from venue), 4 historical world-final rows added (2024-2025)</t>
        </is>
      </c>
      <c r="C13" t="inlineStr">
        <is>
          <t>decided</t>
        </is>
      </c>
      <c r="D13" t="inlineStr">
        <is>
          <t>Reference: A1/A2 files; every row keeps source URL + access date</t>
        </is>
      </c>
    </row>
  </sheetData>
  <autoFilter ref="A1:D11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2026-10-19T14:03:45Z</dcterms:created>
  <dcterms:modified xsi:type="dcterms:W3CDTF">2026-10-19T15:49:58Z</dcterms:modified>
  <cp:lastModifiedBy>Leonardo</cp:lastModifiedBy>
  <cp:revision>0</cp:revision>
</cp:coreProperties>
</file>